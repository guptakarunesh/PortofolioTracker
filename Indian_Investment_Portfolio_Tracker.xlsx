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Banking" sheetId="2" state="visible" r:id="rId2"/>
    <sheet xmlns:r="http://schemas.openxmlformats.org/officeDocument/2006/relationships" name="MutualFunds" sheetId="3" state="visible" r:id="rId3"/>
    <sheet xmlns:r="http://schemas.openxmlformats.org/officeDocument/2006/relationships" name="Stocks" sheetId="4" state="visible" r:id="rId4"/>
    <sheet xmlns:r="http://schemas.openxmlformats.org/officeDocument/2006/relationships" name="Gold" sheetId="5" state="visible" r:id="rId5"/>
    <sheet xmlns:r="http://schemas.openxmlformats.org/officeDocument/2006/relationships" name="RealEstate" sheetId="6" state="visible" r:id="rId6"/>
    <sheet xmlns:r="http://schemas.openxmlformats.org/officeDocument/2006/relationships" name="Retirement" sheetId="7" state="visible" r:id="rId7"/>
    <sheet xmlns:r="http://schemas.openxmlformats.org/officeDocument/2006/relationships" name="Insurance" sheetId="8" state="visible" r:id="rId8"/>
    <sheet xmlns:r="http://schemas.openxmlformats.org/officeDocument/2006/relationships" name="Loans" sheetId="9" state="visible" r:id="rId9"/>
    <sheet xmlns:r="http://schemas.openxmlformats.org/officeDocument/2006/relationships" name="OtherAssets" sheetId="10" state="visible" r:id="rId10"/>
    <sheet xmlns:r="http://schemas.openxmlformats.org/officeDocument/2006/relationships" name="TransactionHistory" sheetId="11" state="visible" r:id="rId11"/>
    <sheet xmlns:r="http://schemas.openxmlformats.org/officeDocument/2006/relationships" name="Reminders" sheetId="12" state="visible" r:id="rId12"/>
    <sheet xmlns:r="http://schemas.openxmlformats.org/officeDocument/2006/relationships" name="Settings" sheetId="13" state="visible" r:id="rId13"/>
    <sheet xmlns:r="http://schemas.openxmlformats.org/officeDocument/2006/relationships" name="Instructions" sheetId="14" state="visible" r:id="rId14"/>
  </sheets>
  <definedNames/>
  <calcPr calcId="124519" fullCalcOnLoad="1"/>
</workbook>
</file>

<file path=xl/styles.xml><?xml version="1.0" encoding="utf-8"?>
<styleSheet xmlns="http://schemas.openxmlformats.org/spreadsheetml/2006/main">
  <numFmts count="7">
    <numFmt numFmtId="164" formatCode="yyyy-mm-dd"/>
    <numFmt numFmtId="165" formatCode="DD-MMM-YYYY"/>
    <numFmt numFmtId="166" formatCode="₹#,##0"/>
    <numFmt numFmtId="167" formatCode="0.00&quot;%&quot;"/>
    <numFmt numFmtId="168" formatCode="yyyy-mm-dd h:mm:ss"/>
    <numFmt numFmtId="169" formatCode="₹#,##0.00"/>
    <numFmt numFmtId="170" formatCode="MMM-YYYY"/>
  </numFmts>
  <fonts count="8">
    <font>
      <name val="Calibri"/>
      <family val="2"/>
      <color theme="1"/>
      <sz val="11"/>
      <scheme val="minor"/>
    </font>
    <font>
      <b val="1"/>
      <color rgb="000070C0"/>
      <sz val="16"/>
    </font>
    <font>
      <b val="1"/>
    </font>
    <font>
      <b val="1"/>
      <sz val="14"/>
    </font>
    <font>
      <b val="1"/>
      <color rgb="00008000"/>
      <sz val="14"/>
    </font>
    <font>
      <b val="1"/>
      <color rgb="00FFFFFF"/>
    </font>
    <font>
      <b val="1"/>
      <color rgb="00000000"/>
    </font>
    <font>
      <b val="1"/>
      <sz val="12"/>
    </font>
  </fonts>
  <fills count="4">
    <fill>
      <patternFill/>
    </fill>
    <fill>
      <patternFill patternType="gray125"/>
    </fill>
    <fill>
      <patternFill patternType="solid">
        <fgColor rgb="004472C4"/>
      </patternFill>
    </fill>
    <fill>
      <patternFill patternType="solid">
        <fgColor rgb="00FFC00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xf>
    <xf numFmtId="165" fontId="0" fillId="0" borderId="0" pivotButton="0" quotePrefix="0" xfId="0"/>
    <xf numFmtId="0" fontId="2" fillId="0" borderId="0" pivotButton="0" quotePrefix="0" xfId="0"/>
    <xf numFmtId="170" fontId="0" fillId="0" borderId="0" pivotButton="0" quotePrefix="0" xfId="0"/>
    <xf numFmtId="166" fontId="0" fillId="0" borderId="0" pivotButton="0" quotePrefix="0" xfId="0"/>
    <xf numFmtId="0" fontId="3" fillId="0" borderId="0" pivotButton="0" quotePrefix="0" xfId="0"/>
    <xf numFmtId="166" fontId="4" fillId="0" borderId="0" pivotButton="0" quotePrefix="0" xfId="0"/>
    <xf numFmtId="0" fontId="5" fillId="2" borderId="1" applyAlignment="1" pivotButton="0" quotePrefix="0" xfId="0">
      <alignment horizontal="center" vertical="center"/>
    </xf>
    <xf numFmtId="0" fontId="0" fillId="0" borderId="1" pivotButton="0" quotePrefix="0" xfId="0"/>
    <xf numFmtId="166" fontId="0" fillId="0" borderId="1" pivotButton="0" quotePrefix="0" xfId="0"/>
    <xf numFmtId="167" fontId="0" fillId="0" borderId="1" pivotButton="0" quotePrefix="0" xfId="0"/>
    <xf numFmtId="0" fontId="6" fillId="3" borderId="1" pivotButton="0" quotePrefix="0" xfId="0"/>
    <xf numFmtId="166" fontId="6" fillId="3" borderId="1" pivotButton="0" quotePrefix="0" xfId="0"/>
    <xf numFmtId="167" fontId="6" fillId="3" borderId="1" pivotButton="0" quotePrefix="0" xfId="0"/>
    <xf numFmtId="165" fontId="0" fillId="0" borderId="1" pivotButton="0" quotePrefix="0" xfId="0"/>
    <xf numFmtId="165" fontId="6" fillId="3" borderId="1" pivotButton="0" quotePrefix="0" xfId="0"/>
    <xf numFmtId="0" fontId="7" fillId="0" borderId="1" pivotButton="0" quotePrefix="0" xfId="0"/>
    <xf numFmtId="169" fontId="0" fillId="0" borderId="1" pivotButton="0" quotePrefix="0" xfId="0"/>
    <xf numFmtId="0" fontId="0" fillId="0" borderId="0" applyAlignment="1" pivotButton="0" quotePrefix="0" xfId="0">
      <alignment vertical="top" wrapText="1"/>
    </xf>
  </cellXfs>
  <cellStyles count="1">
    <cellStyle name="Normal" xfId="0" builtinId="0" hidden="0"/>
  </cellStyles>
  <dxfs count="3">
    <dxf>
      <fill>
        <patternFill patternType="solid">
          <fgColor rgb="00FFC7CE"/>
        </patternFill>
      </fill>
    </dxf>
    <dxf>
      <fill>
        <patternFill patternType="solid">
          <fgColor rgb="00FFEB9C"/>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Asset Allocation</a:t>
            </a:r>
          </a:p>
        </rich>
      </tx>
    </title>
    <plotArea>
      <pieChart>
        <varyColors val="1"/>
        <ser>
          <idx val="0"/>
          <order val="0"/>
          <spPr>
            <a:ln xmlns:a="http://schemas.openxmlformats.org/drawingml/2006/main">
              <a:prstDash val="solid"/>
            </a:ln>
          </spPr>
          <cat>
            <numRef>
              <f>'Dashboard'!$A$11:$A$17</f>
            </numRef>
          </cat>
          <val>
            <numRef>
              <f>'Dashboard'!$B$11:$B$17</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Net Worth Trend</a:t>
            </a:r>
          </a:p>
        </rich>
      </tx>
    </title>
    <plotArea>
      <lineChart>
        <grouping val="standard"/>
        <ser>
          <idx val="0"/>
          <order val="0"/>
          <tx>
            <strRef>
              <f>'Dashboard'!K2</f>
            </strRef>
          </tx>
          <spPr>
            <a:ln xmlns:a="http://schemas.openxmlformats.org/drawingml/2006/main">
              <a:prstDash val="solid"/>
            </a:ln>
          </spPr>
          <marker>
            <symbol val="none"/>
            <spPr>
              <a:ln xmlns:a="http://schemas.openxmlformats.org/drawingml/2006/main">
                <a:prstDash val="solid"/>
              </a:ln>
            </spPr>
          </marker>
          <cat>
            <numRef>
              <f>'Dashboard'!$J$3:$J$8</f>
            </numRef>
          </cat>
          <val>
            <numRef>
              <f>'Dashboard'!$K$3:$K$8</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Net Worth (₹)</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Debt vs Equity</a:t>
            </a:r>
          </a:p>
        </rich>
      </tx>
    </title>
    <plotArea>
      <doughnutChart>
        <varyColors val="1"/>
        <ser>
          <idx val="0"/>
          <order val="0"/>
          <spPr>
            <a:ln xmlns:a="http://schemas.openxmlformats.org/drawingml/2006/main">
              <a:prstDash val="solid"/>
            </a:ln>
          </spPr>
          <cat>
            <numRef>
              <f>'Dashboard'!$A$20:$A$21</f>
            </numRef>
          </cat>
          <val>
            <numRef>
              <f>'Dashboard'!$B$20:$B$21</f>
            </numRef>
          </val>
        </ser>
        <firstSliceAng val="0"/>
        <holeSize val="10"/>
      </doughnut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Top 5 Holdings</a:t>
            </a:r>
          </a:p>
        </rich>
      </tx>
    </title>
    <plotArea>
      <barChart>
        <barDir val="col"/>
        <grouping val="clustered"/>
        <ser>
          <idx val="0"/>
          <order val="0"/>
          <tx>
            <strRef>
              <f>'Dashboard'!Q2</f>
            </strRef>
          </tx>
          <spPr>
            <a:ln xmlns:a="http://schemas.openxmlformats.org/drawingml/2006/main">
              <a:prstDash val="solid"/>
            </a:ln>
          </spPr>
          <cat>
            <numRef>
              <f>'Dashboard'!$P$3:$P$7</f>
            </numRef>
          </cat>
          <val>
            <numRef>
              <f>'Dashboard'!$Q$3:$Q$7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Holding</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Value (₹)</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Monthly Cash Flow</a:t>
            </a:r>
          </a:p>
        </rich>
      </tx>
    </title>
    <plotArea>
      <barChart>
        <barDir val="col"/>
        <grouping val="clustered"/>
        <ser>
          <idx val="0"/>
          <order val="0"/>
          <tx>
            <strRef>
              <f>'Dashboard'!L2</f>
            </strRef>
          </tx>
          <spPr>
            <a:ln xmlns:a="http://schemas.openxmlformats.org/drawingml/2006/main">
              <a:prstDash val="solid"/>
            </a:ln>
          </spPr>
          <cat>
            <numRef>
              <f>'Dashboard'!$J$3:$J$8</f>
            </numRef>
          </cat>
          <val>
            <numRef>
              <f>'Dashboard'!$L$3:$L$8</f>
            </numRef>
          </val>
        </ser>
        <ser>
          <idx val="1"/>
          <order val="1"/>
          <tx>
            <strRef>
              <f>'Dashboard'!M2</f>
            </strRef>
          </tx>
          <spPr>
            <a:ln xmlns:a="http://schemas.openxmlformats.org/drawingml/2006/main">
              <a:prstDash val="solid"/>
            </a:ln>
          </spPr>
          <cat>
            <numRef>
              <f>'Dashboard'!$J$3:$J$8</f>
            </numRef>
          </cat>
          <val>
            <numRef>
              <f>'Dashboard'!$M$3:$M$8</f>
            </numRef>
          </val>
        </ser>
        <ser>
          <idx val="2"/>
          <order val="2"/>
          <tx>
            <strRef>
              <f>'Dashboard'!N2</f>
            </strRef>
          </tx>
          <spPr>
            <a:ln xmlns:a="http://schemas.openxmlformats.org/drawingml/2006/main">
              <a:prstDash val="solid"/>
            </a:ln>
          </spPr>
          <cat>
            <numRef>
              <f>'Dashboard'!$J$3:$J$8</f>
            </numRef>
          </cat>
          <val>
            <numRef>
              <f>'Dashboard'!$N$3:$N$8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5</col>
      <colOff>0</colOff>
      <row>0</row>
      <rowOff>0</rowOff>
    </from>
    <ext cx="32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17</row>
      <rowOff>0</rowOff>
    </from>
    <ext cx="32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34</row>
      <rowOff>0</rowOff>
    </from>
    <ext cx="32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51</row>
      <rowOff>0</rowOff>
    </from>
    <ext cx="32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68</row>
      <rowOff>0</rowOff>
    </from>
    <ext cx="324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30" customWidth="1" min="1" max="1"/>
    <col width="20" customWidth="1" min="2" max="2"/>
    <col width="12" customWidth="1" min="3" max="3"/>
    <col width="32" customWidth="1" min="4" max="4"/>
    <col hidden="1" width="13" customWidth="1" min="10" max="10"/>
    <col hidden="1" width="13" customWidth="1" min="11" max="11"/>
    <col hidden="1" width="13" customWidth="1" min="12" max="12"/>
    <col hidden="1" width="13" customWidth="1" min="13" max="13"/>
    <col hidden="1" width="13" customWidth="1" min="14" max="14"/>
    <col hidden="1" width="13" customWidth="1" min="16" max="16"/>
    <col hidden="1" width="13" customWidth="1" min="17" max="17"/>
  </cols>
  <sheetData>
    <row r="1">
      <c r="A1" s="1" t="inlineStr">
        <is>
          <t>INDIAN INVESTMENT PORTFOLIO TRACKER</t>
        </is>
      </c>
    </row>
    <row r="2">
      <c r="A2" t="inlineStr">
        <is>
          <t>Last Updated</t>
        </is>
      </c>
      <c r="B2" s="2" t="n">
        <v>46069</v>
      </c>
      <c r="J2" s="3" t="inlineStr">
        <is>
          <t>Month</t>
        </is>
      </c>
      <c r="K2" s="3" t="inlineStr">
        <is>
          <t>Net Worth</t>
        </is>
      </c>
      <c r="L2" s="3" t="inlineStr">
        <is>
          <t>Income</t>
        </is>
      </c>
      <c r="M2" s="3" t="inlineStr">
        <is>
          <t>Expenses</t>
        </is>
      </c>
      <c r="N2" s="3" t="inlineStr">
        <is>
          <t>Investments</t>
        </is>
      </c>
      <c r="P2" s="3" t="inlineStr">
        <is>
          <t>Holding</t>
        </is>
      </c>
      <c r="Q2" s="3" t="inlineStr">
        <is>
          <t>Value</t>
        </is>
      </c>
    </row>
    <row r="3">
      <c r="J3" s="4" t="n">
        <v>45901</v>
      </c>
      <c r="K3" s="5">
        <f>$B$7*0.88</f>
        <v/>
      </c>
      <c r="L3" s="5">
        <f>SUMIFS(TransactionHistory!$F:$F,TransactionHistory!$A:$A,"&gt;="&amp;J3,TransactionHistory!$A:$A,"&lt;"&amp;EDATE(J3,1),TransactionHistory!$D:$D,"Maturity")+SUMIFS(TransactionHistory!$F:$F,TransactionHistory!$A:$A,"&gt;="&amp;J3,TransactionHistory!$A:$A,"&lt;"&amp;EDATE(J3,1),TransactionHistory!$D:$D,"Sell")</f>
        <v/>
      </c>
      <c r="M3" s="5">
        <f>SUMIFS(TransactionHistory!$F:$F,TransactionHistory!$A:$A,"&gt;="&amp;J3,TransactionHistory!$A:$A,"&lt;"&amp;EDATE(J3,1),TransactionHistory!$D:$D,"Withdrawal")</f>
        <v/>
      </c>
      <c r="N3" s="5">
        <f>SUMIFS(TransactionHistory!$F:$F,TransactionHistory!$A:$A,"&gt;="&amp;J3,TransactionHistory!$A:$A,"&lt;"&amp;EDATE(J3,1),TransactionHistory!$D:$D,"Buy")+SUMIFS(TransactionHistory!$F:$F,TransactionHistory!$A:$A,"&gt;="&amp;J3,TransactionHistory!$A:$A,"&lt;"&amp;EDATE(J3,1),TransactionHistory!$D:$D,"Deposit")</f>
        <v/>
      </c>
      <c r="P3" t="inlineStr">
        <is>
          <t>Real Estate</t>
        </is>
      </c>
      <c r="Q3" s="5">
        <f>RealEstate!F11</f>
        <v/>
      </c>
    </row>
    <row r="4">
      <c r="A4" s="3" t="inlineStr">
        <is>
          <t>Net Worth Summary</t>
        </is>
      </c>
      <c r="J4" s="4" t="n">
        <v>45931</v>
      </c>
      <c r="K4" s="5">
        <f>$B$7*0.9</f>
        <v/>
      </c>
      <c r="L4" s="5">
        <f>SUMIFS(TransactionHistory!$F:$F,TransactionHistory!$A:$A,"&gt;="&amp;J4,TransactionHistory!$A:$A,"&lt;"&amp;EDATE(J4,1),TransactionHistory!$D:$D,"Maturity")+SUMIFS(TransactionHistory!$F:$F,TransactionHistory!$A:$A,"&gt;="&amp;J4,TransactionHistory!$A:$A,"&lt;"&amp;EDATE(J4,1),TransactionHistory!$D:$D,"Sell")</f>
        <v/>
      </c>
      <c r="M4" s="5">
        <f>SUMIFS(TransactionHistory!$F:$F,TransactionHistory!$A:$A,"&gt;="&amp;J4,TransactionHistory!$A:$A,"&lt;"&amp;EDATE(J4,1),TransactionHistory!$D:$D,"Withdrawal")</f>
        <v/>
      </c>
      <c r="N4" s="5">
        <f>SUMIFS(TransactionHistory!$F:$F,TransactionHistory!$A:$A,"&gt;="&amp;J4,TransactionHistory!$A:$A,"&lt;"&amp;EDATE(J4,1),TransactionHistory!$D:$D,"Buy")+SUMIFS(TransactionHistory!$F:$F,TransactionHistory!$A:$A,"&gt;="&amp;J4,TransactionHistory!$A:$A,"&lt;"&amp;EDATE(J4,1),TransactionHistory!$D:$D,"Deposit")</f>
        <v/>
      </c>
      <c r="P4" t="inlineStr">
        <is>
          <t>Market Investments</t>
        </is>
      </c>
      <c r="Q4" s="5">
        <f>MutualFunds!G21+Stocks!G21</f>
        <v/>
      </c>
    </row>
    <row r="5">
      <c r="A5" t="inlineStr">
        <is>
          <t>Total Assets</t>
        </is>
      </c>
      <c r="B5" s="5">
        <f>Banking!D11+MutualFunds!G21+Stocks!G21+Gold!G7+RealEstate!F11+Retirement!C11+Insurance!I11+OtherAssets!E11</f>
        <v/>
      </c>
      <c r="J5" s="4" t="n">
        <v>45962</v>
      </c>
      <c r="K5" s="5">
        <f>$B$7*0.93</f>
        <v/>
      </c>
      <c r="L5" s="5">
        <f>SUMIFS(TransactionHistory!$F:$F,TransactionHistory!$A:$A,"&gt;="&amp;J5,TransactionHistory!$A:$A,"&lt;"&amp;EDATE(J5,1),TransactionHistory!$D:$D,"Maturity")+SUMIFS(TransactionHistory!$F:$F,TransactionHistory!$A:$A,"&gt;="&amp;J5,TransactionHistory!$A:$A,"&lt;"&amp;EDATE(J5,1),TransactionHistory!$D:$D,"Sell")</f>
        <v/>
      </c>
      <c r="M5" s="5">
        <f>SUMIFS(TransactionHistory!$F:$F,TransactionHistory!$A:$A,"&gt;="&amp;J5,TransactionHistory!$A:$A,"&lt;"&amp;EDATE(J5,1),TransactionHistory!$D:$D,"Withdrawal")</f>
        <v/>
      </c>
      <c r="N5" s="5">
        <f>SUMIFS(TransactionHistory!$F:$F,TransactionHistory!$A:$A,"&gt;="&amp;J5,TransactionHistory!$A:$A,"&lt;"&amp;EDATE(J5,1),TransactionHistory!$D:$D,"Buy")+SUMIFS(TransactionHistory!$F:$F,TransactionHistory!$A:$A,"&gt;="&amp;J5,TransactionHistory!$A:$A,"&lt;"&amp;EDATE(J5,1),TransactionHistory!$D:$D,"Deposit")</f>
        <v/>
      </c>
      <c r="P5" t="inlineStr">
        <is>
          <t>Retirement Funds</t>
        </is>
      </c>
      <c r="Q5" s="5">
        <f>Retirement!C11</f>
        <v/>
      </c>
    </row>
    <row r="6">
      <c r="A6" t="inlineStr">
        <is>
          <t>Total Liabilities</t>
        </is>
      </c>
      <c r="B6" s="5">
        <f>Loans!E11</f>
        <v/>
      </c>
      <c r="J6" s="4" t="n">
        <v>45992</v>
      </c>
      <c r="K6" s="5">
        <f>$B$7*0.96</f>
        <v/>
      </c>
      <c r="L6" s="5">
        <f>SUMIFS(TransactionHistory!$F:$F,TransactionHistory!$A:$A,"&gt;="&amp;J6,TransactionHistory!$A:$A,"&lt;"&amp;EDATE(J6,1),TransactionHistory!$D:$D,"Maturity")+SUMIFS(TransactionHistory!$F:$F,TransactionHistory!$A:$A,"&gt;="&amp;J6,TransactionHistory!$A:$A,"&lt;"&amp;EDATE(J6,1),TransactionHistory!$D:$D,"Sell")</f>
        <v/>
      </c>
      <c r="M6" s="5">
        <f>SUMIFS(TransactionHistory!$F:$F,TransactionHistory!$A:$A,"&gt;="&amp;J6,TransactionHistory!$A:$A,"&lt;"&amp;EDATE(J6,1),TransactionHistory!$D:$D,"Withdrawal")</f>
        <v/>
      </c>
      <c r="N6" s="5">
        <f>SUMIFS(TransactionHistory!$F:$F,TransactionHistory!$A:$A,"&gt;="&amp;J6,TransactionHistory!$A:$A,"&lt;"&amp;EDATE(J6,1),TransactionHistory!$D:$D,"Buy")+SUMIFS(TransactionHistory!$F:$F,TransactionHistory!$A:$A,"&gt;="&amp;J6,TransactionHistory!$A:$A,"&lt;"&amp;EDATE(J6,1),TransactionHistory!$D:$D,"Deposit")</f>
        <v/>
      </c>
      <c r="P6" t="inlineStr">
        <is>
          <t>Banking &amp; Deposits</t>
        </is>
      </c>
      <c r="Q6" s="5">
        <f>Banking!D11</f>
        <v/>
      </c>
    </row>
    <row r="7">
      <c r="A7" s="6" t="inlineStr">
        <is>
          <t>NET WORTH</t>
        </is>
      </c>
      <c r="B7" s="7">
        <f>B5-B6</f>
        <v/>
      </c>
      <c r="J7" s="4" t="n">
        <v>46023</v>
      </c>
      <c r="K7" s="5">
        <f>$B$7*0.98</f>
        <v/>
      </c>
      <c r="L7" s="5">
        <f>SUMIFS(TransactionHistory!$F:$F,TransactionHistory!$A:$A,"&gt;="&amp;J7,TransactionHistory!$A:$A,"&lt;"&amp;EDATE(J7,1),TransactionHistory!$D:$D,"Maturity")+SUMIFS(TransactionHistory!$F:$F,TransactionHistory!$A:$A,"&gt;="&amp;J7,TransactionHistory!$A:$A,"&lt;"&amp;EDATE(J7,1),TransactionHistory!$D:$D,"Sell")</f>
        <v/>
      </c>
      <c r="M7" s="5">
        <f>SUMIFS(TransactionHistory!$F:$F,TransactionHistory!$A:$A,"&gt;="&amp;J7,TransactionHistory!$A:$A,"&lt;"&amp;EDATE(J7,1),TransactionHistory!$D:$D,"Withdrawal")</f>
        <v/>
      </c>
      <c r="N7" s="5">
        <f>SUMIFS(TransactionHistory!$F:$F,TransactionHistory!$A:$A,"&gt;="&amp;J7,TransactionHistory!$A:$A,"&lt;"&amp;EDATE(J7,1),TransactionHistory!$D:$D,"Buy")+SUMIFS(TransactionHistory!$F:$F,TransactionHistory!$A:$A,"&gt;="&amp;J7,TransactionHistory!$A:$A,"&lt;"&amp;EDATE(J7,1),TransactionHistory!$D:$D,"Deposit")</f>
        <v/>
      </c>
      <c r="P7" t="inlineStr">
        <is>
          <t>Precious Metals</t>
        </is>
      </c>
      <c r="Q7" s="5">
        <f>Gold!G7</f>
        <v/>
      </c>
    </row>
    <row r="8">
      <c r="J8" s="4" t="n">
        <v>46054</v>
      </c>
      <c r="K8" s="5">
        <f>$B$7*1.0</f>
        <v/>
      </c>
      <c r="L8" s="5">
        <f>SUMIFS(TransactionHistory!$F:$F,TransactionHistory!$A:$A,"&gt;="&amp;J8,TransactionHistory!$A:$A,"&lt;"&amp;EDATE(J8,1),TransactionHistory!$D:$D,"Maturity")+SUMIFS(TransactionHistory!$F:$F,TransactionHistory!$A:$A,"&gt;="&amp;J8,TransactionHistory!$A:$A,"&lt;"&amp;EDATE(J8,1),TransactionHistory!$D:$D,"Sell")</f>
        <v/>
      </c>
      <c r="M8" s="5">
        <f>SUMIFS(TransactionHistory!$F:$F,TransactionHistory!$A:$A,"&gt;="&amp;J8,TransactionHistory!$A:$A,"&lt;"&amp;EDATE(J8,1),TransactionHistory!$D:$D,"Withdrawal")</f>
        <v/>
      </c>
      <c r="N8" s="5">
        <f>SUMIFS(TransactionHistory!$F:$F,TransactionHistory!$A:$A,"&gt;="&amp;J8,TransactionHistory!$A:$A,"&lt;"&amp;EDATE(J8,1),TransactionHistory!$D:$D,"Buy")+SUMIFS(TransactionHistory!$F:$F,TransactionHistory!$A:$A,"&gt;="&amp;J8,TransactionHistory!$A:$A,"&lt;"&amp;EDATE(J8,1),TransactionHistory!$D:$D,"Deposit")</f>
        <v/>
      </c>
    </row>
    <row r="9">
      <c r="A9" s="3" t="inlineStr">
        <is>
          <t>Asset Allocation</t>
        </is>
      </c>
    </row>
    <row r="10">
      <c r="A10" s="8" t="inlineStr">
        <is>
          <t>Category</t>
        </is>
      </c>
      <c r="B10" s="8" t="inlineStr">
        <is>
          <t>Current Value (₹)</t>
        </is>
      </c>
      <c r="C10" s="8" t="inlineStr">
        <is>
          <t>% of Total</t>
        </is>
      </c>
      <c r="D10" s="8" t="inlineStr">
        <is>
          <t>Notes</t>
        </is>
      </c>
    </row>
    <row r="11">
      <c r="A11" s="9" t="inlineStr">
        <is>
          <t>Banking &amp; Deposits</t>
        </is>
      </c>
      <c r="B11" s="10">
        <f>Banking!D11</f>
        <v/>
      </c>
      <c r="C11" s="11">
        <f>B11/$B$18*100</f>
        <v/>
      </c>
      <c r="D11" s="9" t="inlineStr">
        <is>
          <t>Primary liquid assets</t>
        </is>
      </c>
    </row>
    <row r="12">
      <c r="A12" s="9" t="inlineStr">
        <is>
          <t>Market Investments</t>
        </is>
      </c>
      <c r="B12" s="10">
        <f>MutualFunds!G21+Stocks!G21</f>
        <v/>
      </c>
      <c r="C12" s="11">
        <f>B12/$B$18*100</f>
        <v/>
      </c>
      <c r="D12" s="9" t="inlineStr">
        <is>
          <t>MF + Direct Equity</t>
        </is>
      </c>
    </row>
    <row r="13">
      <c r="A13" s="9" t="inlineStr">
        <is>
          <t>Precious Metals</t>
        </is>
      </c>
      <c r="B13" s="10">
        <f>Gold!G7</f>
        <v/>
      </c>
      <c r="C13" s="11">
        <f>B13/$B$18*100</f>
        <v/>
      </c>
      <c r="D13" s="9" t="inlineStr">
        <is>
          <t>Gold and silver</t>
        </is>
      </c>
    </row>
    <row r="14">
      <c r="A14" s="9" t="inlineStr">
        <is>
          <t>Real Estate</t>
        </is>
      </c>
      <c r="B14" s="10">
        <f>RealEstate!F11</f>
        <v/>
      </c>
      <c r="C14" s="11">
        <f>B14/$B$18*100</f>
        <v/>
      </c>
      <c r="D14" s="9" t="inlineStr">
        <is>
          <t>Property market value</t>
        </is>
      </c>
    </row>
    <row r="15">
      <c r="A15" s="9" t="inlineStr">
        <is>
          <t>Retirement Funds</t>
        </is>
      </c>
      <c r="B15" s="10">
        <f>Retirement!C11</f>
        <v/>
      </c>
      <c r="C15" s="11">
        <f>B15/$B$18*100</f>
        <v/>
      </c>
      <c r="D15" s="9" t="inlineStr">
        <is>
          <t>EPF/PPF/NPS</t>
        </is>
      </c>
    </row>
    <row r="16">
      <c r="A16" s="9" t="inlineStr">
        <is>
          <t>Insurance (Cash Value)</t>
        </is>
      </c>
      <c r="B16" s="10">
        <f>Insurance!I11</f>
        <v/>
      </c>
      <c r="C16" s="11">
        <f>B16/$B$18*100</f>
        <v/>
      </c>
      <c r="D16" s="9" t="inlineStr">
        <is>
          <t>Surrender value only</t>
        </is>
      </c>
    </row>
    <row r="17">
      <c r="A17" s="9" t="inlineStr">
        <is>
          <t>Other Assets</t>
        </is>
      </c>
      <c r="B17" s="10">
        <f>OtherAssets!E11</f>
        <v/>
      </c>
      <c r="C17" s="11">
        <f>B17/$B$18*100</f>
        <v/>
      </c>
      <c r="D17" s="9" t="inlineStr">
        <is>
          <t>Vehicles, crypto, ESOPs</t>
        </is>
      </c>
    </row>
    <row r="18">
      <c r="A18" s="12" t="inlineStr">
        <is>
          <t>TOTAL ASSETS</t>
        </is>
      </c>
      <c r="B18" s="13">
        <f>SUM(B11:B17)</f>
        <v/>
      </c>
      <c r="C18" s="14">
        <f>B18/$B$18*100</f>
        <v/>
      </c>
      <c r="D18" s="12" t="n"/>
    </row>
    <row r="20">
      <c r="A20" t="inlineStr">
        <is>
          <t>Equity (Net Worth)</t>
        </is>
      </c>
      <c r="B20" s="5">
        <f>B7</f>
        <v/>
      </c>
    </row>
    <row r="21">
      <c r="A21" t="inlineStr">
        <is>
          <t>Debt (Liabilities)</t>
        </is>
      </c>
      <c r="B21" s="5">
        <f>Loans!E11</f>
        <v/>
      </c>
    </row>
  </sheetData>
  <mergeCells count="1">
    <mergeCell ref="A1:D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8" customWidth="1" min="4" max="4"/>
    <col width="12" customWidth="1" min="5" max="5"/>
    <col width="15" customWidth="1" min="6" max="6"/>
    <col width="20" customWidth="1" min="7" max="7"/>
  </cols>
  <sheetData>
    <row r="1">
      <c r="A1" s="8" t="inlineStr">
        <is>
          <t>Account Type</t>
        </is>
      </c>
      <c r="B1" s="8" t="inlineStr">
        <is>
          <t>Bank Name</t>
        </is>
      </c>
      <c r="C1" s="8" t="inlineStr">
        <is>
          <t>Account Number</t>
        </is>
      </c>
      <c r="D1" s="8" t="inlineStr">
        <is>
          <t>Current Balance (₹)</t>
        </is>
      </c>
      <c r="E1" s="8" t="inlineStr">
        <is>
          <t>Interest Rate (%)</t>
        </is>
      </c>
      <c r="F1" s="8" t="inlineStr">
        <is>
          <t>Maturity Date</t>
        </is>
      </c>
      <c r="G1" s="8" t="inlineStr">
        <is>
          <t>Remarks</t>
        </is>
      </c>
    </row>
    <row r="2">
      <c r="A2" s="9" t="inlineStr">
        <is>
          <t>Savings</t>
        </is>
      </c>
      <c r="B2" s="9" t="inlineStr">
        <is>
          <t>HDFC Bank</t>
        </is>
      </c>
      <c r="C2" s="9" t="inlineStr">
        <is>
          <t>XXXX1234</t>
        </is>
      </c>
      <c r="D2" s="10" t="n">
        <v>50000</v>
      </c>
      <c r="E2" s="11" t="n">
        <v>3.5</v>
      </c>
      <c r="F2" s="15" t="n"/>
      <c r="G2" s="9" t="inlineStr">
        <is>
          <t>Primary Account</t>
        </is>
      </c>
    </row>
    <row r="3">
      <c r="A3" s="9" t="inlineStr">
        <is>
          <t>FD</t>
        </is>
      </c>
      <c r="B3" s="9" t="inlineStr">
        <is>
          <t>SBI</t>
        </is>
      </c>
      <c r="C3" s="9" t="inlineStr">
        <is>
          <t>XXXX5678</t>
        </is>
      </c>
      <c r="D3" s="10" t="n">
        <v>200000</v>
      </c>
      <c r="E3" s="11" t="n">
        <v>7.1</v>
      </c>
      <c r="F3" s="15" t="n">
        <v>46249</v>
      </c>
      <c r="G3" s="9" t="inlineStr">
        <is>
          <t>5 Year FD</t>
        </is>
      </c>
    </row>
    <row r="4">
      <c r="A4" s="9" t="inlineStr">
        <is>
          <t>RD</t>
        </is>
      </c>
      <c r="B4" s="9" t="inlineStr">
        <is>
          <t>ICICI</t>
        </is>
      </c>
      <c r="C4" s="9" t="inlineStr">
        <is>
          <t>XXXX9012</t>
        </is>
      </c>
      <c r="D4" s="10" t="n">
        <v>50000</v>
      </c>
      <c r="E4" s="11" t="n">
        <v>6.8</v>
      </c>
      <c r="F4" s="15" t="n">
        <v>46386</v>
      </c>
      <c r="G4" s="9" t="inlineStr">
        <is>
          <t>Monthly ₹5000</t>
        </is>
      </c>
    </row>
    <row r="5">
      <c r="A5" s="9" t="inlineStr">
        <is>
          <t>PPF</t>
        </is>
      </c>
      <c r="B5" s="9" t="inlineStr">
        <is>
          <t>SBI</t>
        </is>
      </c>
      <c r="C5" s="9" t="inlineStr">
        <is>
          <t>XXXX3456</t>
        </is>
      </c>
      <c r="D5" s="10" t="n">
        <v>500000</v>
      </c>
      <c r="E5" s="11" t="n">
        <v>7.1</v>
      </c>
      <c r="F5" s="15" t="n">
        <v>51591</v>
      </c>
      <c r="G5" s="9" t="inlineStr">
        <is>
          <t>Annual Contribution</t>
        </is>
      </c>
    </row>
    <row r="6">
      <c r="A6" s="9" t="n"/>
      <c r="B6" s="9" t="n"/>
      <c r="C6" s="9" t="n"/>
      <c r="D6" s="10" t="n"/>
      <c r="E6" s="11" t="n"/>
      <c r="F6" s="15" t="n"/>
      <c r="G6" s="9" t="n"/>
    </row>
    <row r="7">
      <c r="A7" s="9" t="n"/>
      <c r="B7" s="9" t="n"/>
      <c r="C7" s="9" t="n"/>
      <c r="D7" s="10" t="n"/>
      <c r="E7" s="11" t="n"/>
      <c r="F7" s="15" t="n"/>
      <c r="G7" s="9" t="n"/>
    </row>
    <row r="8">
      <c r="A8" s="9" t="n"/>
      <c r="B8" s="9" t="n"/>
      <c r="C8" s="9" t="n"/>
      <c r="D8" s="10" t="n"/>
      <c r="E8" s="11" t="n"/>
      <c r="F8" s="15" t="n"/>
      <c r="G8" s="9" t="n"/>
    </row>
    <row r="9">
      <c r="A9" s="9" t="n"/>
      <c r="B9" s="9" t="n"/>
      <c r="C9" s="9" t="n"/>
      <c r="D9" s="10" t="n"/>
      <c r="E9" s="11" t="n"/>
      <c r="F9" s="15" t="n"/>
      <c r="G9" s="9" t="n"/>
    </row>
    <row r="10">
      <c r="A10" s="9" t="n"/>
      <c r="B10" s="9" t="n"/>
      <c r="C10" s="9" t="n"/>
      <c r="D10" s="10" t="n"/>
      <c r="E10" s="11" t="n"/>
      <c r="F10" s="15" t="n"/>
      <c r="G10" s="9" t="n"/>
    </row>
    <row r="11">
      <c r="A11" s="12" t="inlineStr">
        <is>
          <t>TOTAL</t>
        </is>
      </c>
      <c r="B11" s="12" t="n"/>
      <c r="C11" s="12" t="n"/>
      <c r="D11" s="13">
        <f>SUM(D2:D10)</f>
        <v/>
      </c>
      <c r="E11" s="12" t="n"/>
      <c r="F11" s="12" t="n"/>
      <c r="G11" s="12" t="n"/>
    </row>
  </sheetData>
  <dataValidations count="1">
    <dataValidation sqref="A2:A100" showDropDown="0" showInputMessage="0" showErrorMessage="0" allowBlank="0" type="list">
      <formula1>"Savings,Current,FD,RD,PPF,NSC,KVP,SCSS"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2" customWidth="1" min="4" max="4"/>
    <col width="10" customWidth="1" min="5" max="5"/>
    <col width="12" customWidth="1" min="6" max="6"/>
    <col width="16" customWidth="1" min="7" max="7"/>
    <col width="16" customWidth="1" min="8" max="8"/>
    <col width="14" customWidth="1" min="9" max="9"/>
    <col width="12" customWidth="1" min="10" max="10"/>
    <col width="10" customWidth="1" min="11" max="11"/>
    <col width="12" customWidth="1" min="12" max="12"/>
    <col width="10" customWidth="1" min="13" max="13"/>
  </cols>
  <sheetData>
    <row r="1">
      <c r="A1" s="8" t="inlineStr">
        <is>
          <t>Folio Number</t>
        </is>
      </c>
      <c r="B1" s="8" t="inlineStr">
        <is>
          <t>AMC</t>
        </is>
      </c>
      <c r="C1" s="8" t="inlineStr">
        <is>
          <t>Scheme Name</t>
        </is>
      </c>
      <c r="D1" s="8" t="inlineStr">
        <is>
          <t>Category</t>
        </is>
      </c>
      <c r="E1" s="8" t="inlineStr">
        <is>
          <t>Units</t>
        </is>
      </c>
      <c r="F1" s="8" t="inlineStr">
        <is>
          <t>Current NAV</t>
        </is>
      </c>
      <c r="G1" s="8" t="inlineStr">
        <is>
          <t>Current Value (₹)</t>
        </is>
      </c>
      <c r="H1" s="8" t="inlineStr">
        <is>
          <t>Invested Amount (₹)</t>
        </is>
      </c>
      <c r="I1" s="8" t="inlineStr">
        <is>
          <t>Gain/Loss (₹)</t>
        </is>
      </c>
      <c r="J1" s="8" t="inlineStr">
        <is>
          <t>Gain/Loss (%)</t>
        </is>
      </c>
      <c r="K1" s="8" t="inlineStr">
        <is>
          <t>XIRR (%)</t>
        </is>
      </c>
      <c r="L1" s="8" t="inlineStr">
        <is>
          <t>SIP Amount (₹)</t>
        </is>
      </c>
      <c r="M1" s="8" t="inlineStr">
        <is>
          <t>SIP Date</t>
        </is>
      </c>
    </row>
    <row r="2">
      <c r="A2" s="9" t="inlineStr">
        <is>
          <t>12345/67</t>
        </is>
      </c>
      <c r="B2" s="9" t="inlineStr">
        <is>
          <t>HDFC MF</t>
        </is>
      </c>
      <c r="C2" s="9" t="inlineStr">
        <is>
          <t>HDFC Flexi Cap</t>
        </is>
      </c>
      <c r="D2" s="9" t="inlineStr">
        <is>
          <t>Equity</t>
        </is>
      </c>
      <c r="E2" s="9" t="n">
        <v>1000.5</v>
      </c>
      <c r="F2" s="9" t="n">
        <v>850.25</v>
      </c>
      <c r="G2" s="10">
        <f>E2*F2</f>
        <v/>
      </c>
      <c r="H2" s="10" t="n">
        <v>750000</v>
      </c>
      <c r="I2" s="10">
        <f>G2-H2</f>
        <v/>
      </c>
      <c r="J2" s="11">
        <f>I2/H2</f>
        <v/>
      </c>
      <c r="K2" s="11" t="n">
        <v>15.5</v>
      </c>
      <c r="L2" s="10" t="n">
        <v>10000</v>
      </c>
      <c r="M2" s="9" t="inlineStr">
        <is>
          <t>5th</t>
        </is>
      </c>
    </row>
    <row r="3">
      <c r="A3" s="9" t="inlineStr">
        <is>
          <t>23456/78</t>
        </is>
      </c>
      <c r="B3" s="9" t="inlineStr">
        <is>
          <t>SBI MF</t>
        </is>
      </c>
      <c r="C3" s="9" t="inlineStr">
        <is>
          <t>SBI Bluechip</t>
        </is>
      </c>
      <c r="D3" s="9" t="inlineStr">
        <is>
          <t>Equity</t>
        </is>
      </c>
      <c r="E3" s="9" t="n">
        <v>500</v>
      </c>
      <c r="F3" s="9" t="n">
        <v>95.5</v>
      </c>
      <c r="G3" s="10">
        <f>E3*F3</f>
        <v/>
      </c>
      <c r="H3" s="10" t="n">
        <v>45000</v>
      </c>
      <c r="I3" s="10">
        <f>G3-H3</f>
        <v/>
      </c>
      <c r="J3" s="11">
        <f>I3/H3</f>
        <v/>
      </c>
      <c r="K3" s="11" t="n">
        <v>12.3</v>
      </c>
      <c r="L3" s="10" t="n">
        <v>5000</v>
      </c>
      <c r="M3" s="9" t="inlineStr">
        <is>
          <t>10th</t>
        </is>
      </c>
    </row>
    <row r="4">
      <c r="A4" s="9" t="n"/>
      <c r="B4" s="9" t="n"/>
      <c r="C4" s="9" t="n"/>
      <c r="D4" s="9" t="n"/>
      <c r="E4" s="9" t="n"/>
      <c r="F4" s="9" t="n"/>
      <c r="G4" s="10" t="n"/>
      <c r="H4" s="10" t="n"/>
      <c r="I4" s="10" t="n"/>
      <c r="J4" s="11" t="n"/>
      <c r="K4" s="11" t="n"/>
      <c r="L4" s="10" t="n"/>
      <c r="M4" s="9" t="n"/>
    </row>
    <row r="5">
      <c r="A5" s="9" t="n"/>
      <c r="B5" s="9" t="n"/>
      <c r="C5" s="9" t="n"/>
      <c r="D5" s="9" t="n"/>
      <c r="E5" s="9" t="n"/>
      <c r="F5" s="9" t="n"/>
      <c r="G5" s="10" t="n"/>
      <c r="H5" s="10" t="n"/>
      <c r="I5" s="10" t="n"/>
      <c r="J5" s="11" t="n"/>
      <c r="K5" s="11" t="n"/>
      <c r="L5" s="10" t="n"/>
      <c r="M5" s="9" t="n"/>
    </row>
    <row r="6">
      <c r="A6" s="9" t="n"/>
      <c r="B6" s="9" t="n"/>
      <c r="C6" s="9" t="n"/>
      <c r="D6" s="9" t="n"/>
      <c r="E6" s="9" t="n"/>
      <c r="F6" s="9" t="n"/>
      <c r="G6" s="10" t="n"/>
      <c r="H6" s="10" t="n"/>
      <c r="I6" s="10" t="n"/>
      <c r="J6" s="11" t="n"/>
      <c r="K6" s="11" t="n"/>
      <c r="L6" s="10" t="n"/>
      <c r="M6" s="9" t="n"/>
    </row>
    <row r="7">
      <c r="A7" s="9" t="n"/>
      <c r="B7" s="9" t="n"/>
      <c r="C7" s="9" t="n"/>
      <c r="D7" s="9" t="n"/>
      <c r="E7" s="9" t="n"/>
      <c r="F7" s="9" t="n"/>
      <c r="G7" s="10" t="n"/>
      <c r="H7" s="10" t="n"/>
      <c r="I7" s="10" t="n"/>
      <c r="J7" s="11" t="n"/>
      <c r="K7" s="11" t="n"/>
      <c r="L7" s="10" t="n"/>
      <c r="M7" s="9" t="n"/>
    </row>
    <row r="8">
      <c r="A8" s="9" t="n"/>
      <c r="B8" s="9" t="n"/>
      <c r="C8" s="9" t="n"/>
      <c r="D8" s="9" t="n"/>
      <c r="E8" s="9" t="n"/>
      <c r="F8" s="9" t="n"/>
      <c r="G8" s="10" t="n"/>
      <c r="H8" s="10" t="n"/>
      <c r="I8" s="10" t="n"/>
      <c r="J8" s="11" t="n"/>
      <c r="K8" s="11" t="n"/>
      <c r="L8" s="10" t="n"/>
      <c r="M8" s="9" t="n"/>
    </row>
    <row r="9">
      <c r="A9" s="9" t="n"/>
      <c r="B9" s="9" t="n"/>
      <c r="C9" s="9" t="n"/>
      <c r="D9" s="9" t="n"/>
      <c r="E9" s="9" t="n"/>
      <c r="F9" s="9" t="n"/>
      <c r="G9" s="10" t="n"/>
      <c r="H9" s="10" t="n"/>
      <c r="I9" s="10" t="n"/>
      <c r="J9" s="11" t="n"/>
      <c r="K9" s="11" t="n"/>
      <c r="L9" s="10" t="n"/>
      <c r="M9" s="9" t="n"/>
    </row>
    <row r="10">
      <c r="A10" s="9" t="n"/>
      <c r="B10" s="9" t="n"/>
      <c r="C10" s="9" t="n"/>
      <c r="D10" s="9" t="n"/>
      <c r="E10" s="9" t="n"/>
      <c r="F10" s="9" t="n"/>
      <c r="G10" s="10" t="n"/>
      <c r="H10" s="10" t="n"/>
      <c r="I10" s="10" t="n"/>
      <c r="J10" s="11" t="n"/>
      <c r="K10" s="11" t="n"/>
      <c r="L10" s="10" t="n"/>
      <c r="M10" s="9" t="n"/>
    </row>
    <row r="11">
      <c r="A11" s="9" t="n"/>
      <c r="B11" s="9" t="n"/>
      <c r="C11" s="9" t="n"/>
      <c r="D11" s="9" t="n"/>
      <c r="E11" s="9" t="n"/>
      <c r="F11" s="9" t="n"/>
      <c r="G11" s="10" t="n"/>
      <c r="H11" s="10" t="n"/>
      <c r="I11" s="10" t="n"/>
      <c r="J11" s="11" t="n"/>
      <c r="K11" s="11" t="n"/>
      <c r="L11" s="10" t="n"/>
      <c r="M11" s="9" t="n"/>
    </row>
    <row r="12">
      <c r="A12" s="9" t="n"/>
      <c r="B12" s="9" t="n"/>
      <c r="C12" s="9" t="n"/>
      <c r="D12" s="9" t="n"/>
      <c r="E12" s="9" t="n"/>
      <c r="F12" s="9" t="n"/>
      <c r="G12" s="10" t="n"/>
      <c r="H12" s="10" t="n"/>
      <c r="I12" s="10" t="n"/>
      <c r="J12" s="11" t="n"/>
      <c r="K12" s="11" t="n"/>
      <c r="L12" s="10" t="n"/>
      <c r="M12" s="9" t="n"/>
    </row>
    <row r="13">
      <c r="A13" s="9" t="n"/>
      <c r="B13" s="9" t="n"/>
      <c r="C13" s="9" t="n"/>
      <c r="D13" s="9" t="n"/>
      <c r="E13" s="9" t="n"/>
      <c r="F13" s="9" t="n"/>
      <c r="G13" s="10" t="n"/>
      <c r="H13" s="10" t="n"/>
      <c r="I13" s="10" t="n"/>
      <c r="J13" s="11" t="n"/>
      <c r="K13" s="11" t="n"/>
      <c r="L13" s="10" t="n"/>
      <c r="M13" s="9" t="n"/>
    </row>
    <row r="14">
      <c r="A14" s="9" t="n"/>
      <c r="B14" s="9" t="n"/>
      <c r="C14" s="9" t="n"/>
      <c r="D14" s="9" t="n"/>
      <c r="E14" s="9" t="n"/>
      <c r="F14" s="9" t="n"/>
      <c r="G14" s="10" t="n"/>
      <c r="H14" s="10" t="n"/>
      <c r="I14" s="10" t="n"/>
      <c r="J14" s="11" t="n"/>
      <c r="K14" s="11" t="n"/>
      <c r="L14" s="10" t="n"/>
      <c r="M14" s="9" t="n"/>
    </row>
    <row r="15">
      <c r="A15" s="9" t="n"/>
      <c r="B15" s="9" t="n"/>
      <c r="C15" s="9" t="n"/>
      <c r="D15" s="9" t="n"/>
      <c r="E15" s="9" t="n"/>
      <c r="F15" s="9" t="n"/>
      <c r="G15" s="10" t="n"/>
      <c r="H15" s="10" t="n"/>
      <c r="I15" s="10" t="n"/>
      <c r="J15" s="11" t="n"/>
      <c r="K15" s="11" t="n"/>
      <c r="L15" s="10" t="n"/>
      <c r="M15" s="9" t="n"/>
    </row>
    <row r="16">
      <c r="A16" s="9" t="n"/>
      <c r="B16" s="9" t="n"/>
      <c r="C16" s="9" t="n"/>
      <c r="D16" s="9" t="n"/>
      <c r="E16" s="9" t="n"/>
      <c r="F16" s="9" t="n"/>
      <c r="G16" s="10" t="n"/>
      <c r="H16" s="10" t="n"/>
      <c r="I16" s="10" t="n"/>
      <c r="J16" s="11" t="n"/>
      <c r="K16" s="11" t="n"/>
      <c r="L16" s="10" t="n"/>
      <c r="M16" s="9" t="n"/>
    </row>
    <row r="17">
      <c r="A17" s="9" t="n"/>
      <c r="B17" s="9" t="n"/>
      <c r="C17" s="9" t="n"/>
      <c r="D17" s="9" t="n"/>
      <c r="E17" s="9" t="n"/>
      <c r="F17" s="9" t="n"/>
      <c r="G17" s="10" t="n"/>
      <c r="H17" s="10" t="n"/>
      <c r="I17" s="10" t="n"/>
      <c r="J17" s="11" t="n"/>
      <c r="K17" s="11" t="n"/>
      <c r="L17" s="10" t="n"/>
      <c r="M17" s="9" t="n"/>
    </row>
    <row r="18">
      <c r="A18" s="9" t="n"/>
      <c r="B18" s="9" t="n"/>
      <c r="C18" s="9" t="n"/>
      <c r="D18" s="9" t="n"/>
      <c r="E18" s="9" t="n"/>
      <c r="F18" s="9" t="n"/>
      <c r="G18" s="10" t="n"/>
      <c r="H18" s="10" t="n"/>
      <c r="I18" s="10" t="n"/>
      <c r="J18" s="11" t="n"/>
      <c r="K18" s="11" t="n"/>
      <c r="L18" s="10" t="n"/>
      <c r="M18" s="9" t="n"/>
    </row>
    <row r="19">
      <c r="A19" s="9" t="n"/>
      <c r="B19" s="9" t="n"/>
      <c r="C19" s="9" t="n"/>
      <c r="D19" s="9" t="n"/>
      <c r="E19" s="9" t="n"/>
      <c r="F19" s="9" t="n"/>
      <c r="G19" s="10" t="n"/>
      <c r="H19" s="10" t="n"/>
      <c r="I19" s="10" t="n"/>
      <c r="J19" s="11" t="n"/>
      <c r="K19" s="11" t="n"/>
      <c r="L19" s="10" t="n"/>
      <c r="M19" s="9" t="n"/>
    </row>
    <row r="20">
      <c r="A20" s="9" t="n"/>
      <c r="B20" s="9" t="n"/>
      <c r="C20" s="9" t="n"/>
      <c r="D20" s="9" t="n"/>
      <c r="E20" s="9" t="n"/>
      <c r="F20" s="9" t="n"/>
      <c r="G20" s="10" t="n"/>
      <c r="H20" s="10" t="n"/>
      <c r="I20" s="10" t="n"/>
      <c r="J20" s="11" t="n"/>
      <c r="K20" s="11" t="n"/>
      <c r="L20" s="10" t="n"/>
      <c r="M20" s="9" t="n"/>
    </row>
    <row r="21">
      <c r="A21" s="12" t="inlineStr">
        <is>
          <t>TOTAL</t>
        </is>
      </c>
      <c r="B21" s="12" t="n"/>
      <c r="C21" s="12" t="n"/>
      <c r="D21" s="12" t="n"/>
      <c r="E21" s="12" t="n"/>
      <c r="F21" s="12" t="n"/>
      <c r="G21" s="13">
        <f>SUM(G2:G20)</f>
        <v/>
      </c>
      <c r="H21" s="13">
        <f>SUM(H2:H20)</f>
        <v/>
      </c>
      <c r="I21" s="13">
        <f>SUM(I2:I20)</f>
        <v/>
      </c>
      <c r="J21" s="14">
        <f>I21/H21</f>
        <v/>
      </c>
      <c r="K21" s="12" t="n"/>
      <c r="L21" s="12" t="n"/>
      <c r="M21" s="12" t="n"/>
    </row>
  </sheetData>
  <dataValidations count="1">
    <dataValidation sqref="D2:D100" showDropDown="0" showInputMessage="0" showErrorMessage="0" allowBlank="0" type="list">
      <formula1>"Equity,Debt,Hybrid,Liquid,ELSS"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0" customWidth="1" min="3" max="3"/>
    <col width="10" customWidth="1" min="4" max="4"/>
    <col width="14" customWidth="1" min="5" max="5"/>
    <col width="14" customWidth="1" min="6" max="6"/>
    <col width="14" customWidth="1" min="7" max="7"/>
    <col width="14" customWidth="1" min="8" max="8"/>
    <col width="16" customWidth="1" min="9" max="9"/>
    <col width="14" customWidth="1" min="10" max="10"/>
    <col width="14" customWidth="1" min="11" max="11"/>
  </cols>
  <sheetData>
    <row r="1">
      <c r="A1" s="8" t="inlineStr">
        <is>
          <t>Stock Symbol</t>
        </is>
      </c>
      <c r="B1" s="8" t="inlineStr">
        <is>
          <t>Company Name</t>
        </is>
      </c>
      <c r="C1" s="8" t="inlineStr">
        <is>
          <t>Exchange</t>
        </is>
      </c>
      <c r="D1" s="8" t="inlineStr">
        <is>
          <t>Quantity</t>
        </is>
      </c>
      <c r="E1" s="8" t="inlineStr">
        <is>
          <t>Avg Buy Price (₹)</t>
        </is>
      </c>
      <c r="F1" s="8" t="inlineStr">
        <is>
          <t>Current Price (₹)</t>
        </is>
      </c>
      <c r="G1" s="8" t="inlineStr">
        <is>
          <t>Current Value (₹)</t>
        </is>
      </c>
      <c r="H1" s="8" t="inlineStr">
        <is>
          <t>Invested Amount (₹)</t>
        </is>
      </c>
      <c r="I1" s="8" t="inlineStr">
        <is>
          <t>Unrealized Gain/Loss (₹)</t>
        </is>
      </c>
      <c r="J1" s="8" t="inlineStr">
        <is>
          <t>Unrealized Gain/Loss (%)</t>
        </is>
      </c>
      <c r="K1" s="8" t="inlineStr">
        <is>
          <t>Demat Account</t>
        </is>
      </c>
    </row>
    <row r="2">
      <c r="A2" s="9" t="inlineStr">
        <is>
          <t>RELIANCE</t>
        </is>
      </c>
      <c r="B2" s="9" t="inlineStr">
        <is>
          <t>Reliance Industries</t>
        </is>
      </c>
      <c r="C2" s="9" t="inlineStr">
        <is>
          <t>NSE</t>
        </is>
      </c>
      <c r="D2" s="9" t="n">
        <v>50</v>
      </c>
      <c r="E2" s="10" t="n">
        <v>2400</v>
      </c>
      <c r="F2" s="10" t="n">
        <v>2850</v>
      </c>
      <c r="G2" s="10">
        <f>D2*F2</f>
        <v/>
      </c>
      <c r="H2" s="10">
        <f>D2*E2</f>
        <v/>
      </c>
      <c r="I2" s="10">
        <f>G2-H2</f>
        <v/>
      </c>
      <c r="J2" s="11">
        <f>I2/H2</f>
        <v/>
      </c>
      <c r="K2" s="9" t="inlineStr">
        <is>
          <t>Zerodha</t>
        </is>
      </c>
    </row>
    <row r="3">
      <c r="A3" s="9" t="inlineStr">
        <is>
          <t>TCS</t>
        </is>
      </c>
      <c r="B3" s="9" t="inlineStr">
        <is>
          <t>Tata Consultancy</t>
        </is>
      </c>
      <c r="C3" s="9" t="inlineStr">
        <is>
          <t>NSE</t>
        </is>
      </c>
      <c r="D3" s="9" t="n">
        <v>25</v>
      </c>
      <c r="E3" s="10" t="n">
        <v>3500</v>
      </c>
      <c r="F3" s="10" t="n">
        <v>4100</v>
      </c>
      <c r="G3" s="10">
        <f>D3*F3</f>
        <v/>
      </c>
      <c r="H3" s="10">
        <f>D3*E3</f>
        <v/>
      </c>
      <c r="I3" s="10">
        <f>G3-H3</f>
        <v/>
      </c>
      <c r="J3" s="11">
        <f>I3/H3</f>
        <v/>
      </c>
      <c r="K3" s="9" t="inlineStr">
        <is>
          <t>Zerodha</t>
        </is>
      </c>
    </row>
    <row r="4">
      <c r="A4" s="9" t="n"/>
      <c r="B4" s="9" t="n"/>
      <c r="C4" s="9" t="n"/>
      <c r="D4" s="9" t="n"/>
      <c r="E4" s="10" t="n"/>
      <c r="F4" s="10" t="n"/>
      <c r="G4" s="10" t="n"/>
      <c r="H4" s="10" t="n"/>
      <c r="I4" s="10" t="n"/>
      <c r="J4" s="11" t="n"/>
      <c r="K4" s="9" t="n"/>
    </row>
    <row r="5">
      <c r="A5" s="9" t="n"/>
      <c r="B5" s="9" t="n"/>
      <c r="C5" s="9" t="n"/>
      <c r="D5" s="9" t="n"/>
      <c r="E5" s="10" t="n"/>
      <c r="F5" s="10" t="n"/>
      <c r="G5" s="10" t="n"/>
      <c r="H5" s="10" t="n"/>
      <c r="I5" s="10" t="n"/>
      <c r="J5" s="11" t="n"/>
      <c r="K5" s="9" t="n"/>
    </row>
    <row r="6">
      <c r="A6" s="9" t="n"/>
      <c r="B6" s="9" t="n"/>
      <c r="C6" s="9" t="n"/>
      <c r="D6" s="9" t="n"/>
      <c r="E6" s="10" t="n"/>
      <c r="F6" s="10" t="n"/>
      <c r="G6" s="10" t="n"/>
      <c r="H6" s="10" t="n"/>
      <c r="I6" s="10" t="n"/>
      <c r="J6" s="11" t="n"/>
      <c r="K6" s="9" t="n"/>
    </row>
    <row r="7">
      <c r="A7" s="9" t="n"/>
      <c r="B7" s="9" t="n"/>
      <c r="C7" s="9" t="n"/>
      <c r="D7" s="9" t="n"/>
      <c r="E7" s="10" t="n"/>
      <c r="F7" s="10" t="n"/>
      <c r="G7" s="10" t="n"/>
      <c r="H7" s="10" t="n"/>
      <c r="I7" s="10" t="n"/>
      <c r="J7" s="11" t="n"/>
      <c r="K7" s="9" t="n"/>
    </row>
    <row r="8">
      <c r="A8" s="9" t="n"/>
      <c r="B8" s="9" t="n"/>
      <c r="C8" s="9" t="n"/>
      <c r="D8" s="9" t="n"/>
      <c r="E8" s="10" t="n"/>
      <c r="F8" s="10" t="n"/>
      <c r="G8" s="10" t="n"/>
      <c r="H8" s="10" t="n"/>
      <c r="I8" s="10" t="n"/>
      <c r="J8" s="11" t="n"/>
      <c r="K8" s="9" t="n"/>
    </row>
    <row r="9">
      <c r="A9" s="9" t="n"/>
      <c r="B9" s="9" t="n"/>
      <c r="C9" s="9" t="n"/>
      <c r="D9" s="9" t="n"/>
      <c r="E9" s="10" t="n"/>
      <c r="F9" s="10" t="n"/>
      <c r="G9" s="10" t="n"/>
      <c r="H9" s="10" t="n"/>
      <c r="I9" s="10" t="n"/>
      <c r="J9" s="11" t="n"/>
      <c r="K9" s="9" t="n"/>
    </row>
    <row r="10">
      <c r="A10" s="9" t="n"/>
      <c r="B10" s="9" t="n"/>
      <c r="C10" s="9" t="n"/>
      <c r="D10" s="9" t="n"/>
      <c r="E10" s="10" t="n"/>
      <c r="F10" s="10" t="n"/>
      <c r="G10" s="10" t="n"/>
      <c r="H10" s="10" t="n"/>
      <c r="I10" s="10" t="n"/>
      <c r="J10" s="11" t="n"/>
      <c r="K10" s="9" t="n"/>
    </row>
    <row r="11">
      <c r="A11" s="9" t="n"/>
      <c r="B11" s="9" t="n"/>
      <c r="C11" s="9" t="n"/>
      <c r="D11" s="9" t="n"/>
      <c r="E11" s="10" t="n"/>
      <c r="F11" s="10" t="n"/>
      <c r="G11" s="10" t="n"/>
      <c r="H11" s="10" t="n"/>
      <c r="I11" s="10" t="n"/>
      <c r="J11" s="11" t="n"/>
      <c r="K11" s="9" t="n"/>
    </row>
    <row r="12">
      <c r="A12" s="9" t="n"/>
      <c r="B12" s="9" t="n"/>
      <c r="C12" s="9" t="n"/>
      <c r="D12" s="9" t="n"/>
      <c r="E12" s="10" t="n"/>
      <c r="F12" s="10" t="n"/>
      <c r="G12" s="10" t="n"/>
      <c r="H12" s="10" t="n"/>
      <c r="I12" s="10" t="n"/>
      <c r="J12" s="11" t="n"/>
      <c r="K12" s="9" t="n"/>
    </row>
    <row r="13">
      <c r="A13" s="9" t="n"/>
      <c r="B13" s="9" t="n"/>
      <c r="C13" s="9" t="n"/>
      <c r="D13" s="9" t="n"/>
      <c r="E13" s="10" t="n"/>
      <c r="F13" s="10" t="n"/>
      <c r="G13" s="10" t="n"/>
      <c r="H13" s="10" t="n"/>
      <c r="I13" s="10" t="n"/>
      <c r="J13" s="11" t="n"/>
      <c r="K13" s="9" t="n"/>
    </row>
    <row r="14">
      <c r="A14" s="9" t="n"/>
      <c r="B14" s="9" t="n"/>
      <c r="C14" s="9" t="n"/>
      <c r="D14" s="9" t="n"/>
      <c r="E14" s="10" t="n"/>
      <c r="F14" s="10" t="n"/>
      <c r="G14" s="10" t="n"/>
      <c r="H14" s="10" t="n"/>
      <c r="I14" s="10" t="n"/>
      <c r="J14" s="11" t="n"/>
      <c r="K14" s="9" t="n"/>
    </row>
    <row r="15">
      <c r="A15" s="9" t="n"/>
      <c r="B15" s="9" t="n"/>
      <c r="C15" s="9" t="n"/>
      <c r="D15" s="9" t="n"/>
      <c r="E15" s="10" t="n"/>
      <c r="F15" s="10" t="n"/>
      <c r="G15" s="10" t="n"/>
      <c r="H15" s="10" t="n"/>
      <c r="I15" s="10" t="n"/>
      <c r="J15" s="11" t="n"/>
      <c r="K15" s="9" t="n"/>
    </row>
    <row r="16">
      <c r="A16" s="9" t="n"/>
      <c r="B16" s="9" t="n"/>
      <c r="C16" s="9" t="n"/>
      <c r="D16" s="9" t="n"/>
      <c r="E16" s="10" t="n"/>
      <c r="F16" s="10" t="n"/>
      <c r="G16" s="10" t="n"/>
      <c r="H16" s="10" t="n"/>
      <c r="I16" s="10" t="n"/>
      <c r="J16" s="11" t="n"/>
      <c r="K16" s="9" t="n"/>
    </row>
    <row r="17">
      <c r="A17" s="9" t="n"/>
      <c r="B17" s="9" t="n"/>
      <c r="C17" s="9" t="n"/>
      <c r="D17" s="9" t="n"/>
      <c r="E17" s="10" t="n"/>
      <c r="F17" s="10" t="n"/>
      <c r="G17" s="10" t="n"/>
      <c r="H17" s="10" t="n"/>
      <c r="I17" s="10" t="n"/>
      <c r="J17" s="11" t="n"/>
      <c r="K17" s="9" t="n"/>
    </row>
    <row r="18">
      <c r="A18" s="9" t="n"/>
      <c r="B18" s="9" t="n"/>
      <c r="C18" s="9" t="n"/>
      <c r="D18" s="9" t="n"/>
      <c r="E18" s="10" t="n"/>
      <c r="F18" s="10" t="n"/>
      <c r="G18" s="10" t="n"/>
      <c r="H18" s="10" t="n"/>
      <c r="I18" s="10" t="n"/>
      <c r="J18" s="11" t="n"/>
      <c r="K18" s="9" t="n"/>
    </row>
    <row r="19">
      <c r="A19" s="9" t="n"/>
      <c r="B19" s="9" t="n"/>
      <c r="C19" s="9" t="n"/>
      <c r="D19" s="9" t="n"/>
      <c r="E19" s="10" t="n"/>
      <c r="F19" s="10" t="n"/>
      <c r="G19" s="10" t="n"/>
      <c r="H19" s="10" t="n"/>
      <c r="I19" s="10" t="n"/>
      <c r="J19" s="11" t="n"/>
      <c r="K19" s="9" t="n"/>
    </row>
    <row r="20">
      <c r="A20" s="9" t="n"/>
      <c r="B20" s="9" t="n"/>
      <c r="C20" s="9" t="n"/>
      <c r="D20" s="9" t="n"/>
      <c r="E20" s="10" t="n"/>
      <c r="F20" s="10" t="n"/>
      <c r="G20" s="10" t="n"/>
      <c r="H20" s="10" t="n"/>
      <c r="I20" s="10" t="n"/>
      <c r="J20" s="11" t="n"/>
      <c r="K20" s="9" t="n"/>
    </row>
    <row r="21">
      <c r="A21" s="12" t="inlineStr">
        <is>
          <t>TOTAL</t>
        </is>
      </c>
      <c r="B21" s="12" t="n"/>
      <c r="C21" s="12" t="n"/>
      <c r="D21" s="12" t="n"/>
      <c r="E21" s="12" t="n"/>
      <c r="F21" s="12" t="n"/>
      <c r="G21" s="13">
        <f>SUM(G2:G20)</f>
        <v/>
      </c>
      <c r="H21" s="13">
        <f>SUM(H2:H20)</f>
        <v/>
      </c>
      <c r="I21" s="13">
        <f>SUM(I2:I20)</f>
        <v/>
      </c>
      <c r="J21" s="14">
        <f>I21/H21</f>
        <v/>
      </c>
      <c r="K21" s="12" t="n"/>
    </row>
  </sheetData>
  <dataValidations count="1">
    <dataValidation sqref="C2:C100" showDropDown="0" showInputMessage="0" showErrorMessage="0" allowBlank="0" type="list">
      <formula1>"NSE,BSE"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2" customWidth="1" min="3" max="3"/>
    <col width="18" customWidth="1" min="4" max="4"/>
    <col width="14" customWidth="1" min="5" max="5"/>
    <col width="18" customWidth="1" min="6" max="6"/>
    <col width="16" customWidth="1" min="7" max="7"/>
    <col width="14" customWidth="1" min="8" max="8"/>
    <col width="20" customWidth="1" min="9" max="9"/>
  </cols>
  <sheetData>
    <row r="1">
      <c r="A1" s="8" t="inlineStr">
        <is>
          <t>Type</t>
        </is>
      </c>
      <c r="B1" s="8" t="inlineStr">
        <is>
          <t>Sub-Type</t>
        </is>
      </c>
      <c r="C1" s="8" t="inlineStr">
        <is>
          <t>Weight (grams)</t>
        </is>
      </c>
      <c r="D1" s="8" t="inlineStr">
        <is>
          <t>Purchase Price/gram (₹)</t>
        </is>
      </c>
      <c r="E1" s="8" t="inlineStr">
        <is>
          <t>Purchase Date</t>
        </is>
      </c>
      <c r="F1" s="8" t="inlineStr">
        <is>
          <t>Current Rate/gram (₹)</t>
        </is>
      </c>
      <c r="G1" s="8" t="inlineStr">
        <is>
          <t>Current Value (₹)</t>
        </is>
      </c>
      <c r="H1" s="8" t="inlineStr">
        <is>
          <t>Gain/Loss (₹)</t>
        </is>
      </c>
      <c r="I1" s="8" t="inlineStr">
        <is>
          <t>Location/Details</t>
        </is>
      </c>
    </row>
    <row r="2">
      <c r="A2" s="9" t="inlineStr">
        <is>
          <t>Gold</t>
        </is>
      </c>
      <c r="B2" s="9" t="inlineStr">
        <is>
          <t>Physical Jewelry</t>
        </is>
      </c>
      <c r="C2" s="9" t="n">
        <v>50</v>
      </c>
      <c r="D2" s="10" t="n">
        <v>4500</v>
      </c>
      <c r="E2" s="15" t="n">
        <v>43831</v>
      </c>
      <c r="F2" s="10" t="n">
        <v>6500</v>
      </c>
      <c r="G2" s="10">
        <f>C2*F2</f>
        <v/>
      </c>
      <c r="H2" s="10">
        <f>G2-(C2*D2)</f>
        <v/>
      </c>
      <c r="I2" s="9" t="inlineStr">
        <is>
          <t>Home Locker</t>
        </is>
      </c>
    </row>
    <row r="3">
      <c r="A3" s="9" t="inlineStr">
        <is>
          <t>Gold</t>
        </is>
      </c>
      <c r="B3" s="9" t="inlineStr">
        <is>
          <t>Coins (24K)</t>
        </is>
      </c>
      <c r="C3" s="9" t="n">
        <v>20</v>
      </c>
      <c r="D3" s="10" t="n">
        <v>5200</v>
      </c>
      <c r="E3" s="15" t="n">
        <v>44788</v>
      </c>
      <c r="F3" s="10" t="n">
        <v>6500</v>
      </c>
      <c r="G3" s="10">
        <f>C3*F3</f>
        <v/>
      </c>
      <c r="H3" s="10">
        <f>G3-(C3*D3)</f>
        <v/>
      </c>
      <c r="I3" s="9" t="inlineStr">
        <is>
          <t>Bank Locker</t>
        </is>
      </c>
    </row>
    <row r="4">
      <c r="A4" s="9" t="inlineStr">
        <is>
          <t>Gold</t>
        </is>
      </c>
      <c r="B4" s="9" t="inlineStr">
        <is>
          <t>Digital Gold</t>
        </is>
      </c>
      <c r="C4" s="9" t="n">
        <v>10</v>
      </c>
      <c r="D4" s="10" t="n">
        <v>5500</v>
      </c>
      <c r="E4" s="15" t="n">
        <v>45301</v>
      </c>
      <c r="F4" s="10" t="n">
        <v>6500</v>
      </c>
      <c r="G4" s="10">
        <f>C4*F4</f>
        <v/>
      </c>
      <c r="H4" s="10">
        <f>G4-(C4*D4)</f>
        <v/>
      </c>
      <c r="I4" s="9" t="inlineStr">
        <is>
          <t>Paytm</t>
        </is>
      </c>
    </row>
    <row r="5">
      <c r="A5" s="9" t="inlineStr">
        <is>
          <t>Gold</t>
        </is>
      </c>
      <c r="B5" s="9" t="inlineStr">
        <is>
          <t>Sovereign Gold Bonds</t>
        </is>
      </c>
      <c r="C5" s="9" t="n">
        <v>16</v>
      </c>
      <c r="D5" s="10" t="n">
        <v>5000</v>
      </c>
      <c r="E5" s="15" t="n">
        <v>45017</v>
      </c>
      <c r="F5" s="10" t="n">
        <v>6500</v>
      </c>
      <c r="G5" s="10">
        <f>C5*F5</f>
        <v/>
      </c>
      <c r="H5" s="10">
        <f>G5-(C5*D5)</f>
        <v/>
      </c>
      <c r="I5" s="9" t="inlineStr">
        <is>
          <t>Demat</t>
        </is>
      </c>
    </row>
    <row r="6">
      <c r="A6" s="9" t="inlineStr">
        <is>
          <t>Silver</t>
        </is>
      </c>
      <c r="B6" s="9" t="inlineStr">
        <is>
          <t>Physical Bars</t>
        </is>
      </c>
      <c r="C6" s="9" t="n">
        <v>500</v>
      </c>
      <c r="D6" s="10" t="n">
        <v>65</v>
      </c>
      <c r="E6" s="15" t="n">
        <v>44348</v>
      </c>
      <c r="F6" s="10" t="n">
        <v>75</v>
      </c>
      <c r="G6" s="10">
        <f>C6*F6</f>
        <v/>
      </c>
      <c r="H6" s="10">
        <f>G6-(C6*D6)</f>
        <v/>
      </c>
      <c r="I6" s="9" t="inlineStr">
        <is>
          <t>Home</t>
        </is>
      </c>
    </row>
    <row r="7">
      <c r="A7" s="12" t="inlineStr">
        <is>
          <t>TOTAL</t>
        </is>
      </c>
      <c r="B7" s="12" t="n"/>
      <c r="C7" s="12">
        <f>SUM(C2:C6)</f>
        <v/>
      </c>
      <c r="D7" s="13" t="n"/>
      <c r="E7" s="16" t="n"/>
      <c r="F7" s="13" t="n"/>
      <c r="G7" s="13">
        <f>SUM(G2:G6)</f>
        <v/>
      </c>
      <c r="H7" s="13">
        <f>SUM(H2:H6)</f>
        <v/>
      </c>
      <c r="I7"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2" customWidth="1" min="3" max="3"/>
    <col width="14" customWidth="1" min="4" max="4"/>
    <col width="16" customWidth="1" min="5" max="5"/>
    <col width="18" customWidth="1" min="6" max="6"/>
    <col width="16" customWidth="1" min="7" max="7"/>
    <col width="14" customWidth="1" min="8" max="8"/>
    <col width="18" customWidth="1" min="9" max="9"/>
    <col width="18" customWidth="1" min="10" max="10"/>
  </cols>
  <sheetData>
    <row r="1">
      <c r="A1" s="8" t="inlineStr">
        <is>
          <t>Property Type</t>
        </is>
      </c>
      <c r="B1" s="8" t="inlineStr">
        <is>
          <t>Address</t>
        </is>
      </c>
      <c r="C1" s="8" t="inlineStr">
        <is>
          <t>City</t>
        </is>
      </c>
      <c r="D1" s="8" t="inlineStr">
        <is>
          <t>Purchase Date</t>
        </is>
      </c>
      <c r="E1" s="8" t="inlineStr">
        <is>
          <t>Purchase Price (₹)</t>
        </is>
      </c>
      <c r="F1" s="8" t="inlineStr">
        <is>
          <t>Current Market Value (₹)</t>
        </is>
      </c>
      <c r="G1" s="8" t="inlineStr">
        <is>
          <t>Loan Outstanding (₹)</t>
        </is>
      </c>
      <c r="H1" s="8" t="inlineStr">
        <is>
          <t>Net Equity (₹)</t>
        </is>
      </c>
      <c r="I1" s="8" t="inlineStr">
        <is>
          <t>Rental Income (₹/month)</t>
        </is>
      </c>
      <c r="J1" s="8" t="inlineStr">
        <is>
          <t>Remarks</t>
        </is>
      </c>
    </row>
    <row r="2">
      <c r="A2" s="9" t="inlineStr">
        <is>
          <t>Residential</t>
        </is>
      </c>
      <c r="B2" s="9" t="inlineStr">
        <is>
          <t>Sector 62, Noida</t>
        </is>
      </c>
      <c r="C2" s="9" t="inlineStr">
        <is>
          <t>Noida</t>
        </is>
      </c>
      <c r="D2" s="15" t="n">
        <v>43905</v>
      </c>
      <c r="E2" s="10" t="n">
        <v>7500000</v>
      </c>
      <c r="F2" s="10" t="n">
        <v>9500000</v>
      </c>
      <c r="G2" s="10" t="n">
        <v>3000000</v>
      </c>
      <c r="H2" s="10">
        <f>F2-G2</f>
        <v/>
      </c>
      <c r="I2" s="10" t="n">
        <v>25000</v>
      </c>
      <c r="J2" s="9" t="inlineStr">
        <is>
          <t>Self-occupied</t>
        </is>
      </c>
    </row>
    <row r="3">
      <c r="A3" s="9" t="inlineStr">
        <is>
          <t>Plot</t>
        </is>
      </c>
      <c r="B3" s="9" t="inlineStr">
        <is>
          <t>Greater Noida</t>
        </is>
      </c>
      <c r="C3" s="9" t="inlineStr">
        <is>
          <t>Noida</t>
        </is>
      </c>
      <c r="D3" s="15" t="n">
        <v>43101</v>
      </c>
      <c r="E3" s="10" t="n">
        <v>2500000</v>
      </c>
      <c r="F3" s="10" t="n">
        <v>4000000</v>
      </c>
      <c r="G3" s="10" t="n">
        <v>0</v>
      </c>
      <c r="H3" s="10">
        <f>F3-G3</f>
        <v/>
      </c>
      <c r="I3" s="10" t="n"/>
      <c r="J3" s="9" t="inlineStr">
        <is>
          <t>Vacant</t>
        </is>
      </c>
    </row>
    <row r="4">
      <c r="A4" s="9" t="n"/>
      <c r="B4" s="9" t="n"/>
      <c r="C4" s="9" t="n"/>
      <c r="D4" s="15" t="n"/>
      <c r="E4" s="10" t="n"/>
      <c r="F4" s="10" t="n"/>
      <c r="G4" s="10" t="n"/>
      <c r="H4" s="10" t="n"/>
      <c r="I4" s="10" t="n"/>
      <c r="J4" s="9" t="n"/>
    </row>
    <row r="5">
      <c r="A5" s="9" t="n"/>
      <c r="B5" s="9" t="n"/>
      <c r="C5" s="9" t="n"/>
      <c r="D5" s="15" t="n"/>
      <c r="E5" s="10" t="n"/>
      <c r="F5" s="10" t="n"/>
      <c r="G5" s="10" t="n"/>
      <c r="H5" s="10" t="n"/>
      <c r="I5" s="10" t="n"/>
      <c r="J5" s="9" t="n"/>
    </row>
    <row r="6">
      <c r="A6" s="9" t="n"/>
      <c r="B6" s="9" t="n"/>
      <c r="C6" s="9" t="n"/>
      <c r="D6" s="15" t="n"/>
      <c r="E6" s="10" t="n"/>
      <c r="F6" s="10" t="n"/>
      <c r="G6" s="10" t="n"/>
      <c r="H6" s="10" t="n"/>
      <c r="I6" s="10" t="n"/>
      <c r="J6" s="9" t="n"/>
    </row>
    <row r="7">
      <c r="A7" s="9" t="n"/>
      <c r="B7" s="9" t="n"/>
      <c r="C7" s="9" t="n"/>
      <c r="D7" s="15" t="n"/>
      <c r="E7" s="10" t="n"/>
      <c r="F7" s="10" t="n"/>
      <c r="G7" s="10" t="n"/>
      <c r="H7" s="10" t="n"/>
      <c r="I7" s="10" t="n"/>
      <c r="J7" s="9" t="n"/>
    </row>
    <row r="8">
      <c r="A8" s="9" t="n"/>
      <c r="B8" s="9" t="n"/>
      <c r="C8" s="9" t="n"/>
      <c r="D8" s="15" t="n"/>
      <c r="E8" s="10" t="n"/>
      <c r="F8" s="10" t="n"/>
      <c r="G8" s="10" t="n"/>
      <c r="H8" s="10" t="n"/>
      <c r="I8" s="10" t="n"/>
      <c r="J8" s="9" t="n"/>
    </row>
    <row r="9">
      <c r="A9" s="9" t="n"/>
      <c r="B9" s="9" t="n"/>
      <c r="C9" s="9" t="n"/>
      <c r="D9" s="15" t="n"/>
      <c r="E9" s="10" t="n"/>
      <c r="F9" s="10" t="n"/>
      <c r="G9" s="10" t="n"/>
      <c r="H9" s="10" t="n"/>
      <c r="I9" s="10" t="n"/>
      <c r="J9" s="9" t="n"/>
    </row>
    <row r="10">
      <c r="A10" s="9" t="n"/>
      <c r="B10" s="9" t="n"/>
      <c r="C10" s="9" t="n"/>
      <c r="D10" s="15" t="n"/>
      <c r="E10" s="10" t="n"/>
      <c r="F10" s="10" t="n"/>
      <c r="G10" s="10" t="n"/>
      <c r="H10" s="10" t="n"/>
      <c r="I10" s="10" t="n"/>
      <c r="J10" s="9" t="n"/>
    </row>
    <row r="11">
      <c r="A11" s="12" t="inlineStr">
        <is>
          <t>TOTAL</t>
        </is>
      </c>
      <c r="B11" s="12" t="n"/>
      <c r="C11" s="12" t="n"/>
      <c r="D11" s="12" t="n"/>
      <c r="E11" s="13">
        <f>SUM(E2:E10)</f>
        <v/>
      </c>
      <c r="F11" s="13">
        <f>SUM(F2:F10)</f>
        <v/>
      </c>
      <c r="G11" s="13">
        <f>SUM(G2:G10)</f>
        <v/>
      </c>
      <c r="H11" s="13">
        <f>SUM(H2:H10)</f>
        <v/>
      </c>
      <c r="I11" s="13">
        <f>SUM(I2:I10)</f>
        <v/>
      </c>
      <c r="J11" s="1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8" customWidth="1" min="4" max="4"/>
    <col width="18" customWidth="1" min="5" max="5"/>
    <col width="14" customWidth="1" min="6" max="6"/>
    <col width="18" customWidth="1" min="7" max="7"/>
    <col width="18" customWidth="1" min="8" max="8"/>
  </cols>
  <sheetData>
    <row r="1">
      <c r="A1" s="8" t="inlineStr">
        <is>
          <t>Account Type</t>
        </is>
      </c>
      <c r="B1" s="8" t="inlineStr">
        <is>
          <t>Account Number</t>
        </is>
      </c>
      <c r="C1" s="8" t="inlineStr">
        <is>
          <t>Current Balance (₹)</t>
        </is>
      </c>
      <c r="D1" s="8" t="inlineStr">
        <is>
          <t>Employer Contribution (₹)</t>
        </is>
      </c>
      <c r="E1" s="8" t="inlineStr">
        <is>
          <t>Employee Contribution (₹)</t>
        </is>
      </c>
      <c r="F1" s="8" t="inlineStr">
        <is>
          <t>Interest Rate (%)</t>
        </is>
      </c>
      <c r="G1" s="8" t="inlineStr">
        <is>
          <t>Maturity/Retirement Date</t>
        </is>
      </c>
      <c r="H1" s="8" t="inlineStr">
        <is>
          <t>Remarks</t>
        </is>
      </c>
    </row>
    <row r="2">
      <c r="A2" s="9" t="inlineStr">
        <is>
          <t>EPF</t>
        </is>
      </c>
      <c r="B2" s="9" t="inlineStr">
        <is>
          <t>PF/XX/12345</t>
        </is>
      </c>
      <c r="C2" s="10" t="n">
        <v>800000</v>
      </c>
      <c r="D2" s="9" t="inlineStr">
        <is>
          <t>1800/month</t>
        </is>
      </c>
      <c r="E2" s="9" t="inlineStr">
        <is>
          <t>1800/month</t>
        </is>
      </c>
      <c r="F2" s="9" t="inlineStr">
        <is>
          <t>8.25%</t>
        </is>
      </c>
      <c r="G2" s="15" t="n">
        <v>54878</v>
      </c>
      <c r="H2" s="9" t="inlineStr">
        <is>
          <t>Auto-deducted</t>
        </is>
      </c>
    </row>
    <row r="3">
      <c r="A3" s="9" t="inlineStr">
        <is>
          <t>PPF</t>
        </is>
      </c>
      <c r="B3" s="9" t="inlineStr">
        <is>
          <t>PPF123456</t>
        </is>
      </c>
      <c r="C3" s="10" t="n">
        <v>500000</v>
      </c>
      <c r="D3" s="9" t="inlineStr">
        <is>
          <t>-</t>
        </is>
      </c>
      <c r="E3" s="9" t="inlineStr">
        <is>
          <t>150000/year</t>
        </is>
      </c>
      <c r="F3" s="9" t="inlineStr">
        <is>
          <t>7.1%</t>
        </is>
      </c>
      <c r="G3" s="15" t="n">
        <v>51591</v>
      </c>
      <c r="H3" s="9" t="inlineStr">
        <is>
          <t>15-year lock-in</t>
        </is>
      </c>
    </row>
    <row r="4">
      <c r="A4" s="9" t="inlineStr">
        <is>
          <t>NPS Tier-I</t>
        </is>
      </c>
      <c r="B4" s="9" t="inlineStr">
        <is>
          <t>PRAN123456</t>
        </is>
      </c>
      <c r="C4" s="10" t="n">
        <v>300000</v>
      </c>
      <c r="D4" s="9" t="inlineStr">
        <is>
          <t>50000/year</t>
        </is>
      </c>
      <c r="E4" s="9" t="inlineStr">
        <is>
          <t>50000/year</t>
        </is>
      </c>
      <c r="F4" s="9" t="inlineStr">
        <is>
          <t>Market-linked</t>
        </is>
      </c>
      <c r="G4" s="15" t="n">
        <v>54878</v>
      </c>
      <c r="H4" s="9" t="inlineStr">
        <is>
          <t>Tax benefit</t>
        </is>
      </c>
    </row>
    <row r="5">
      <c r="A5" s="9" t="n"/>
      <c r="B5" s="9" t="n"/>
      <c r="C5" s="10" t="n"/>
      <c r="D5" s="9" t="n"/>
      <c r="E5" s="9" t="n"/>
      <c r="F5" s="9" t="n"/>
      <c r="G5" s="15" t="n"/>
      <c r="H5" s="9" t="n"/>
    </row>
    <row r="6">
      <c r="A6" s="9" t="n"/>
      <c r="B6" s="9" t="n"/>
      <c r="C6" s="10" t="n"/>
      <c r="D6" s="9" t="n"/>
      <c r="E6" s="9" t="n"/>
      <c r="F6" s="9" t="n"/>
      <c r="G6" s="15" t="n"/>
      <c r="H6" s="9" t="n"/>
    </row>
    <row r="7">
      <c r="A7" s="9" t="n"/>
      <c r="B7" s="9" t="n"/>
      <c r="C7" s="10" t="n"/>
      <c r="D7" s="9" t="n"/>
      <c r="E7" s="9" t="n"/>
      <c r="F7" s="9" t="n"/>
      <c r="G7" s="15" t="n"/>
      <c r="H7" s="9" t="n"/>
    </row>
    <row r="8">
      <c r="A8" s="9" t="n"/>
      <c r="B8" s="9" t="n"/>
      <c r="C8" s="10" t="n"/>
      <c r="D8" s="9" t="n"/>
      <c r="E8" s="9" t="n"/>
      <c r="F8" s="9" t="n"/>
      <c r="G8" s="15" t="n"/>
      <c r="H8" s="9" t="n"/>
    </row>
    <row r="9">
      <c r="A9" s="9" t="n"/>
      <c r="B9" s="9" t="n"/>
      <c r="C9" s="10" t="n"/>
      <c r="D9" s="9" t="n"/>
      <c r="E9" s="9" t="n"/>
      <c r="F9" s="9" t="n"/>
      <c r="G9" s="15" t="n"/>
      <c r="H9" s="9" t="n"/>
    </row>
    <row r="10">
      <c r="A10" s="9" t="n"/>
      <c r="B10" s="9" t="n"/>
      <c r="C10" s="10" t="n"/>
      <c r="D10" s="9" t="n"/>
      <c r="E10" s="9" t="n"/>
      <c r="F10" s="9" t="n"/>
      <c r="G10" s="15" t="n"/>
      <c r="H10" s="9" t="n"/>
    </row>
    <row r="11">
      <c r="A11" s="12" t="inlineStr">
        <is>
          <t>TOTAL</t>
        </is>
      </c>
      <c r="B11" s="12" t="n"/>
      <c r="C11" s="13">
        <f>SUM(C2:C10)</f>
        <v/>
      </c>
      <c r="D11" s="12" t="n"/>
      <c r="E11" s="12" t="n"/>
      <c r="F11" s="12" t="n"/>
      <c r="G11" s="12" t="n"/>
      <c r="H11" s="1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6" customWidth="1" min="5" max="5"/>
    <col width="16" customWidth="1" min="6" max="6"/>
    <col width="14" customWidth="1" min="7" max="7"/>
    <col width="16" customWidth="1" min="8" max="8"/>
    <col width="18" customWidth="1" min="9" max="9"/>
    <col width="12" customWidth="1" min="10" max="10"/>
    <col width="10" customWidth="1" min="11" max="11"/>
  </cols>
  <sheetData>
    <row r="1">
      <c r="A1" s="8" t="inlineStr">
        <is>
          <t>Policy Type</t>
        </is>
      </c>
      <c r="B1" s="8" t="inlineStr">
        <is>
          <t>Insurer</t>
        </is>
      </c>
      <c r="C1" s="8" t="inlineStr">
        <is>
          <t>Policy Number</t>
        </is>
      </c>
      <c r="D1" s="8" t="inlineStr">
        <is>
          <t>Sum Assured (₹)</t>
        </is>
      </c>
      <c r="E1" s="8" t="inlineStr">
        <is>
          <t>Premium Amount (₹)</t>
        </is>
      </c>
      <c r="F1" s="8" t="inlineStr">
        <is>
          <t>Premium Frequency</t>
        </is>
      </c>
      <c r="G1" s="8" t="inlineStr">
        <is>
          <t>Next Due Date</t>
        </is>
      </c>
      <c r="H1" s="8" t="inlineStr">
        <is>
          <t>Maturity Date</t>
        </is>
      </c>
      <c r="I1" s="8" t="inlineStr">
        <is>
          <t>Cash/Surrender Value (₹)</t>
        </is>
      </c>
      <c r="J1" s="8" t="inlineStr">
        <is>
          <t>Nominee</t>
        </is>
      </c>
      <c r="K1" s="8" t="inlineStr">
        <is>
          <t>Status</t>
        </is>
      </c>
    </row>
    <row r="2">
      <c r="A2" s="9" t="inlineStr">
        <is>
          <t>Term Life</t>
        </is>
      </c>
      <c r="B2" s="9" t="inlineStr">
        <is>
          <t>HDFC Life</t>
        </is>
      </c>
      <c r="C2" s="9" t="inlineStr">
        <is>
          <t>TERM123456</t>
        </is>
      </c>
      <c r="D2" s="10" t="n">
        <v>10000000</v>
      </c>
      <c r="E2" s="10" t="n">
        <v>15000</v>
      </c>
      <c r="F2" s="9" t="inlineStr">
        <is>
          <t>Annual</t>
        </is>
      </c>
      <c r="G2" s="15" t="n">
        <v>46113</v>
      </c>
      <c r="H2" s="15" t="n">
        <v>54879</v>
      </c>
      <c r="I2" s="10" t="n">
        <v>0</v>
      </c>
      <c r="J2" s="9" t="inlineStr">
        <is>
          <t>Spouse</t>
        </is>
      </c>
      <c r="K2" s="9" t="inlineStr">
        <is>
          <t>Active</t>
        </is>
      </c>
    </row>
    <row r="3">
      <c r="A3" s="9" t="inlineStr">
        <is>
          <t>Endowment</t>
        </is>
      </c>
      <c r="B3" s="9" t="inlineStr">
        <is>
          <t>LIC</t>
        </is>
      </c>
      <c r="C3" s="9" t="inlineStr">
        <is>
          <t>LIC987654</t>
        </is>
      </c>
      <c r="D3" s="10" t="n">
        <v>1000000</v>
      </c>
      <c r="E3" s="10" t="n">
        <v>50000</v>
      </c>
      <c r="F3" s="9" t="inlineStr">
        <is>
          <t>Annual</t>
        </is>
      </c>
      <c r="G3" s="15" t="n">
        <v>46157</v>
      </c>
      <c r="H3" s="15" t="n">
        <v>49444</v>
      </c>
      <c r="I3" s="10" t="n">
        <v>350000</v>
      </c>
      <c r="J3" s="9" t="inlineStr">
        <is>
          <t>Spouse</t>
        </is>
      </c>
      <c r="K3" s="9" t="inlineStr">
        <is>
          <t>Active</t>
        </is>
      </c>
    </row>
    <row r="4">
      <c r="A4" s="9" t="inlineStr">
        <is>
          <t>Health</t>
        </is>
      </c>
      <c r="B4" s="9" t="inlineStr">
        <is>
          <t>Star Health</t>
        </is>
      </c>
      <c r="C4" s="9" t="inlineStr">
        <is>
          <t>HEALTH5678</t>
        </is>
      </c>
      <c r="D4" s="10" t="n">
        <v>1000000</v>
      </c>
      <c r="E4" s="10" t="n">
        <v>18000</v>
      </c>
      <c r="F4" s="9" t="inlineStr">
        <is>
          <t>Annual</t>
        </is>
      </c>
      <c r="G4" s="15" t="n">
        <v>46183</v>
      </c>
      <c r="H4" s="9" t="inlineStr">
        <is>
          <t>Annual renewal</t>
        </is>
      </c>
      <c r="I4" s="10" t="n">
        <v>0</v>
      </c>
      <c r="J4" s="9" t="inlineStr">
        <is>
          <t>Self</t>
        </is>
      </c>
      <c r="K4" s="9" t="inlineStr">
        <is>
          <t>Active</t>
        </is>
      </c>
    </row>
    <row r="5">
      <c r="A5" s="9" t="inlineStr">
        <is>
          <t>Vehicle</t>
        </is>
      </c>
      <c r="B5" s="9" t="inlineStr">
        <is>
          <t>ICICI Lombard</t>
        </is>
      </c>
      <c r="C5" s="9" t="inlineStr">
        <is>
          <t>VEH123</t>
        </is>
      </c>
      <c r="D5" s="10" t="n">
        <v>800000</v>
      </c>
      <c r="E5" s="10" t="n">
        <v>12000</v>
      </c>
      <c r="F5" s="9" t="inlineStr">
        <is>
          <t>Annual</t>
        </is>
      </c>
      <c r="G5" s="15" t="n">
        <v>46223</v>
      </c>
      <c r="H5" s="9" t="inlineStr">
        <is>
          <t>Annual renewal</t>
        </is>
      </c>
      <c r="I5" s="10" t="n">
        <v>0</v>
      </c>
      <c r="J5" s="9" t="inlineStr">
        <is>
          <t>Self</t>
        </is>
      </c>
      <c r="K5" s="9" t="inlineStr">
        <is>
          <t>Active</t>
        </is>
      </c>
    </row>
    <row r="6">
      <c r="A6" s="9" t="n"/>
      <c r="B6" s="9" t="n"/>
      <c r="C6" s="9" t="n"/>
      <c r="D6" s="10" t="n"/>
      <c r="E6" s="10" t="n"/>
      <c r="F6" s="9" t="n"/>
      <c r="G6" s="15" t="n"/>
      <c r="H6" s="9" t="n"/>
      <c r="I6" s="10" t="n"/>
      <c r="J6" s="9" t="n"/>
      <c r="K6" s="9" t="n"/>
    </row>
    <row r="7">
      <c r="A7" s="9" t="n"/>
      <c r="B7" s="9" t="n"/>
      <c r="C7" s="9" t="n"/>
      <c r="D7" s="10" t="n"/>
      <c r="E7" s="10" t="n"/>
      <c r="F7" s="9" t="n"/>
      <c r="G7" s="15" t="n"/>
      <c r="H7" s="9" t="n"/>
      <c r="I7" s="10" t="n"/>
      <c r="J7" s="9" t="n"/>
      <c r="K7" s="9" t="n"/>
    </row>
    <row r="8">
      <c r="A8" s="9" t="n"/>
      <c r="B8" s="9" t="n"/>
      <c r="C8" s="9" t="n"/>
      <c r="D8" s="10" t="n"/>
      <c r="E8" s="10" t="n"/>
      <c r="F8" s="9" t="n"/>
      <c r="G8" s="15" t="n"/>
      <c r="H8" s="9" t="n"/>
      <c r="I8" s="10" t="n"/>
      <c r="J8" s="9" t="n"/>
      <c r="K8" s="9" t="n"/>
    </row>
    <row r="9">
      <c r="A9" s="9" t="n"/>
      <c r="B9" s="9" t="n"/>
      <c r="C9" s="9" t="n"/>
      <c r="D9" s="10" t="n"/>
      <c r="E9" s="10" t="n"/>
      <c r="F9" s="9" t="n"/>
      <c r="G9" s="15" t="n"/>
      <c r="H9" s="9" t="n"/>
      <c r="I9" s="10" t="n"/>
      <c r="J9" s="9" t="n"/>
      <c r="K9" s="9" t="n"/>
    </row>
    <row r="10">
      <c r="A10" s="9" t="n"/>
      <c r="B10" s="9" t="n"/>
      <c r="C10" s="9" t="n"/>
      <c r="D10" s="10" t="n"/>
      <c r="E10" s="10" t="n"/>
      <c r="F10" s="9" t="n"/>
      <c r="G10" s="15" t="n"/>
      <c r="H10" s="9" t="n"/>
      <c r="I10" s="10" t="n"/>
      <c r="J10" s="9" t="n"/>
      <c r="K10" s="9" t="n"/>
    </row>
    <row r="11">
      <c r="A11" s="12" t="inlineStr">
        <is>
          <t>TOTAL</t>
        </is>
      </c>
      <c r="B11" s="12" t="n"/>
      <c r="C11" s="12" t="n"/>
      <c r="D11" s="13">
        <f>SUM(D2:D10)</f>
        <v/>
      </c>
      <c r="E11" s="13">
        <f>SUM(E2:E10)</f>
        <v/>
      </c>
      <c r="F11" s="12" t="n"/>
      <c r="G11" s="12" t="n"/>
      <c r="H11" s="12" t="n"/>
      <c r="I11" s="13">
        <f>SUM(I2:I10)</f>
        <v/>
      </c>
      <c r="J11" s="12" t="n"/>
      <c r="K11" s="12" t="n"/>
    </row>
  </sheetData>
  <dataValidations count="2">
    <dataValidation sqref="A2:A100" showDropDown="0" showInputMessage="0" showErrorMessage="0" allowBlank="0" type="list">
      <formula1>"Term Life,Endowment,ULIP,Health,Vehicle,Property"</formula1>
    </dataValidation>
    <dataValidation sqref="F2:F100" showDropDown="0" showInputMessage="0" showErrorMessage="0" allowBlank="0" type="list">
      <formula1>"Monthly,Quarterly,Half-yearly,Annual"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8" customWidth="1" min="5" max="5"/>
    <col width="12" customWidth="1" min="6" max="6"/>
    <col width="14" customWidth="1" min="7" max="7"/>
    <col width="10" customWidth="1" min="8" max="8"/>
    <col width="16" customWidth="1" min="9" max="9"/>
    <col width="14" customWidth="1" min="10" max="10"/>
  </cols>
  <sheetData>
    <row r="1">
      <c r="A1" s="8" t="inlineStr">
        <is>
          <t>Loan Type</t>
        </is>
      </c>
      <c r="B1" s="8" t="inlineStr">
        <is>
          <t>Lender</t>
        </is>
      </c>
      <c r="C1" s="8" t="inlineStr">
        <is>
          <t>Loan Account</t>
        </is>
      </c>
      <c r="D1" s="8" t="inlineStr">
        <is>
          <t>Original Amount (₹)</t>
        </is>
      </c>
      <c r="E1" s="8" t="inlineStr">
        <is>
          <t>Outstanding Amount (₹)</t>
        </is>
      </c>
      <c r="F1" s="8" t="inlineStr">
        <is>
          <t>Interest Rate (%)</t>
        </is>
      </c>
      <c r="G1" s="8" t="inlineStr">
        <is>
          <t>EMI Amount (₹)</t>
        </is>
      </c>
      <c r="H1" s="8" t="inlineStr">
        <is>
          <t>EMI Date</t>
        </is>
      </c>
      <c r="I1" s="8" t="inlineStr">
        <is>
          <t>Tenure Remaining</t>
        </is>
      </c>
      <c r="J1" s="8" t="inlineStr">
        <is>
          <t>End Date</t>
        </is>
      </c>
    </row>
    <row r="2">
      <c r="A2" s="9" t="inlineStr">
        <is>
          <t>Home Loan</t>
        </is>
      </c>
      <c r="B2" s="9" t="inlineStr">
        <is>
          <t>HDFC Bank</t>
        </is>
      </c>
      <c r="C2" s="9" t="inlineStr">
        <is>
          <t>HL123456</t>
        </is>
      </c>
      <c r="D2" s="10" t="n">
        <v>5000000</v>
      </c>
      <c r="E2" s="10" t="n">
        <v>3000000</v>
      </c>
      <c r="F2" s="11" t="n">
        <v>8.5</v>
      </c>
      <c r="G2" s="10" t="n">
        <v>45000</v>
      </c>
      <c r="H2" s="9" t="inlineStr">
        <is>
          <t>5th</t>
        </is>
      </c>
      <c r="I2" s="9" t="inlineStr">
        <is>
          <t>120 months</t>
        </is>
      </c>
      <c r="J2" s="15" t="n">
        <v>49710</v>
      </c>
    </row>
    <row r="3">
      <c r="A3" s="9" t="inlineStr">
        <is>
          <t>Car Loan</t>
        </is>
      </c>
      <c r="B3" s="9" t="inlineStr">
        <is>
          <t>ICICI Bank</t>
        </is>
      </c>
      <c r="C3" s="9" t="inlineStr">
        <is>
          <t>CL789012</t>
        </is>
      </c>
      <c r="D3" s="10" t="n">
        <v>800000</v>
      </c>
      <c r="E3" s="10" t="n">
        <v>350000</v>
      </c>
      <c r="F3" s="11" t="n">
        <v>9.199999999999999</v>
      </c>
      <c r="G3" s="10" t="n">
        <v>18000</v>
      </c>
      <c r="H3" s="9" t="inlineStr">
        <is>
          <t>10th</t>
        </is>
      </c>
      <c r="I3" s="9" t="inlineStr">
        <is>
          <t>24 months</t>
        </is>
      </c>
      <c r="J3" s="15" t="n">
        <v>46793</v>
      </c>
    </row>
    <row r="4">
      <c r="A4" s="9" t="inlineStr">
        <is>
          <t>Personal Loan</t>
        </is>
      </c>
      <c r="B4" s="9" t="inlineStr">
        <is>
          <t>SBI</t>
        </is>
      </c>
      <c r="C4" s="9" t="inlineStr">
        <is>
          <t>PL345678</t>
        </is>
      </c>
      <c r="D4" s="10" t="n">
        <v>200000</v>
      </c>
      <c r="E4" s="10" t="n">
        <v>120000</v>
      </c>
      <c r="F4" s="11" t="n">
        <v>11.5</v>
      </c>
      <c r="G4" s="10" t="n">
        <v>12000</v>
      </c>
      <c r="H4" s="9" t="inlineStr">
        <is>
          <t>15th</t>
        </is>
      </c>
      <c r="I4" s="9" t="inlineStr">
        <is>
          <t>12 months</t>
        </is>
      </c>
      <c r="J4" s="15" t="n">
        <v>46433</v>
      </c>
    </row>
    <row r="5">
      <c r="A5" s="9" t="n"/>
      <c r="B5" s="9" t="n"/>
      <c r="C5" s="9" t="n"/>
      <c r="D5" s="10" t="n"/>
      <c r="E5" s="10" t="n"/>
      <c r="F5" s="11" t="n"/>
      <c r="G5" s="10" t="n"/>
      <c r="H5" s="9" t="n"/>
      <c r="I5" s="9" t="n"/>
      <c r="J5" s="15" t="n"/>
    </row>
    <row r="6">
      <c r="A6" s="9" t="n"/>
      <c r="B6" s="9" t="n"/>
      <c r="C6" s="9" t="n"/>
      <c r="D6" s="10" t="n"/>
      <c r="E6" s="10" t="n"/>
      <c r="F6" s="11" t="n"/>
      <c r="G6" s="10" t="n"/>
      <c r="H6" s="9" t="n"/>
      <c r="I6" s="9" t="n"/>
      <c r="J6" s="15" t="n"/>
    </row>
    <row r="7">
      <c r="A7" s="9" t="n"/>
      <c r="B7" s="9" t="n"/>
      <c r="C7" s="9" t="n"/>
      <c r="D7" s="10" t="n"/>
      <c r="E7" s="10" t="n"/>
      <c r="F7" s="11" t="n"/>
      <c r="G7" s="10" t="n"/>
      <c r="H7" s="9" t="n"/>
      <c r="I7" s="9" t="n"/>
      <c r="J7" s="15" t="n"/>
    </row>
    <row r="8">
      <c r="A8" s="9" t="n"/>
      <c r="B8" s="9" t="n"/>
      <c r="C8" s="9" t="n"/>
      <c r="D8" s="10" t="n"/>
      <c r="E8" s="10" t="n"/>
      <c r="F8" s="11" t="n"/>
      <c r="G8" s="10" t="n"/>
      <c r="H8" s="9" t="n"/>
      <c r="I8" s="9" t="n"/>
      <c r="J8" s="15" t="n"/>
    </row>
    <row r="9">
      <c r="A9" s="9" t="n"/>
      <c r="B9" s="9" t="n"/>
      <c r="C9" s="9" t="n"/>
      <c r="D9" s="10" t="n"/>
      <c r="E9" s="10" t="n"/>
      <c r="F9" s="11" t="n"/>
      <c r="G9" s="10" t="n"/>
      <c r="H9" s="9" t="n"/>
      <c r="I9" s="9" t="n"/>
      <c r="J9" s="15" t="n"/>
    </row>
    <row r="10">
      <c r="A10" s="9" t="n"/>
      <c r="B10" s="9" t="n"/>
      <c r="C10" s="9" t="n"/>
      <c r="D10" s="10" t="n"/>
      <c r="E10" s="10" t="n"/>
      <c r="F10" s="11" t="n"/>
      <c r="G10" s="10" t="n"/>
      <c r="H10" s="9" t="n"/>
      <c r="I10" s="9" t="n"/>
      <c r="J10" s="15" t="n"/>
    </row>
    <row r="11">
      <c r="A11" s="12" t="inlineStr">
        <is>
          <t>TOTAL</t>
        </is>
      </c>
      <c r="B11" s="12" t="n"/>
      <c r="C11" s="12" t="n"/>
      <c r="D11" s="13">
        <f>SUM(D2:D10)</f>
        <v/>
      </c>
      <c r="E11" s="13">
        <f>SUM(E2:E10)</f>
        <v/>
      </c>
      <c r="F11" s="12" t="n"/>
      <c r="G11" s="13">
        <f>SUM(G2:G10)</f>
        <v/>
      </c>
      <c r="H11" s="12" t="n"/>
      <c r="I11" s="12" t="n"/>
      <c r="J11" s="1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4" customWidth="1" min="3" max="3"/>
    <col width="16" customWidth="1" min="4" max="4"/>
    <col width="16" customWidth="1" min="5" max="5"/>
    <col width="16" customWidth="1" min="6" max="6"/>
    <col width="24" customWidth="1" min="7" max="7"/>
  </cols>
  <sheetData>
    <row r="1">
      <c r="A1" s="8" t="inlineStr">
        <is>
          <t>Asset Type</t>
        </is>
      </c>
      <c r="B1" s="8" t="inlineStr">
        <is>
          <t>Description</t>
        </is>
      </c>
      <c r="C1" s="8" t="inlineStr">
        <is>
          <t>Purchase Date</t>
        </is>
      </c>
      <c r="D1" s="8" t="inlineStr">
        <is>
          <t>Purchase Value (₹)</t>
        </is>
      </c>
      <c r="E1" s="8" t="inlineStr">
        <is>
          <t>Current Value (₹)</t>
        </is>
      </c>
      <c r="F1" s="8" t="inlineStr">
        <is>
          <t>Depreciation Rate (%)</t>
        </is>
      </c>
      <c r="G1" s="8" t="inlineStr">
        <is>
          <t>Remarks</t>
        </is>
      </c>
    </row>
    <row r="2">
      <c r="A2" s="9" t="inlineStr">
        <is>
          <t>Vehicle</t>
        </is>
      </c>
      <c r="B2" s="9" t="inlineStr">
        <is>
          <t>Honda City 2022</t>
        </is>
      </c>
      <c r="C2" s="15" t="n">
        <v>44576</v>
      </c>
      <c r="D2" s="10" t="n">
        <v>1200000</v>
      </c>
      <c r="E2" s="10" t="n">
        <v>800000</v>
      </c>
      <c r="F2" s="9" t="inlineStr">
        <is>
          <t>15%/year</t>
        </is>
      </c>
      <c r="G2" s="9" t="inlineStr">
        <is>
          <t>Registration: DL-XX-XXXX</t>
        </is>
      </c>
    </row>
    <row r="3">
      <c r="A3" s="9" t="inlineStr">
        <is>
          <t>Cryptocurrency</t>
        </is>
      </c>
      <c r="B3" s="9" t="inlineStr">
        <is>
          <t>Bitcoin</t>
        </is>
      </c>
      <c r="C3" s="9" t="inlineStr">
        <is>
          <t>Various</t>
        </is>
      </c>
      <c r="D3" s="10" t="n">
        <v>100000</v>
      </c>
      <c r="E3" s="10" t="n">
        <v>150000</v>
      </c>
      <c r="F3" s="9" t="inlineStr">
        <is>
          <t>Volatile</t>
        </is>
      </c>
      <c r="G3" s="9" t="inlineStr">
        <is>
          <t>WazirX account</t>
        </is>
      </c>
    </row>
    <row r="4">
      <c r="A4" s="9" t="inlineStr">
        <is>
          <t>ESOPs</t>
        </is>
      </c>
      <c r="B4" s="9" t="inlineStr">
        <is>
          <t>Company Stock</t>
        </is>
      </c>
      <c r="C4" s="15" t="n">
        <v>45292</v>
      </c>
      <c r="D4" s="10" t="n">
        <v>200000</v>
      </c>
      <c r="E4" s="10" t="n">
        <v>300000</v>
      </c>
      <c r="F4" s="9" t="inlineStr">
        <is>
          <t>-</t>
        </is>
      </c>
      <c r="G4" s="9" t="inlineStr">
        <is>
          <t>Vested: 50%</t>
        </is>
      </c>
    </row>
    <row r="5">
      <c r="A5" s="9" t="n"/>
      <c r="B5" s="9" t="n"/>
      <c r="C5" s="9" t="n"/>
      <c r="D5" s="10" t="n"/>
      <c r="E5" s="10" t="n"/>
      <c r="F5" s="9" t="n"/>
      <c r="G5" s="9" t="n"/>
    </row>
    <row r="6">
      <c r="A6" s="9" t="n"/>
      <c r="B6" s="9" t="n"/>
      <c r="C6" s="9" t="n"/>
      <c r="D6" s="10" t="n"/>
      <c r="E6" s="10" t="n"/>
      <c r="F6" s="9" t="n"/>
      <c r="G6" s="9" t="n"/>
    </row>
    <row r="7">
      <c r="A7" s="9" t="n"/>
      <c r="B7" s="9" t="n"/>
      <c r="C7" s="9" t="n"/>
      <c r="D7" s="10" t="n"/>
      <c r="E7" s="10" t="n"/>
      <c r="F7" s="9" t="n"/>
      <c r="G7" s="9" t="n"/>
    </row>
    <row r="8">
      <c r="A8" s="9" t="n"/>
      <c r="B8" s="9" t="n"/>
      <c r="C8" s="9" t="n"/>
      <c r="D8" s="10" t="n"/>
      <c r="E8" s="10" t="n"/>
      <c r="F8" s="9" t="n"/>
      <c r="G8" s="9" t="n"/>
    </row>
    <row r="9">
      <c r="A9" s="9" t="n"/>
      <c r="B9" s="9" t="n"/>
      <c r="C9" s="9" t="n"/>
      <c r="D9" s="10" t="n"/>
      <c r="E9" s="10" t="n"/>
      <c r="F9" s="9" t="n"/>
      <c r="G9" s="9" t="n"/>
    </row>
    <row r="10">
      <c r="A10" s="9" t="n"/>
      <c r="B10" s="9" t="n"/>
      <c r="C10" s="9" t="n"/>
      <c r="D10" s="10" t="n"/>
      <c r="E10" s="10" t="n"/>
      <c r="F10" s="9" t="n"/>
      <c r="G10" s="9" t="n"/>
    </row>
    <row r="11">
      <c r="A11" s="12" t="inlineStr">
        <is>
          <t>TOTAL</t>
        </is>
      </c>
      <c r="B11" s="12" t="n"/>
      <c r="C11" s="12" t="n"/>
      <c r="D11" s="13">
        <f>SUM(D2:D10)</f>
        <v/>
      </c>
      <c r="E11" s="13">
        <f>SUM(E2:E10)</f>
        <v/>
      </c>
      <c r="F11" s="12" t="n"/>
      <c r="G11" s="1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9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8" customWidth="1" min="5" max="5"/>
    <col width="14" customWidth="1" min="6" max="6"/>
    <col width="14" customWidth="1" min="7" max="7"/>
    <col width="12" customWidth="1" min="8" max="8"/>
    <col width="14" customWidth="1" min="9" max="9"/>
    <col width="20" customWidth="1" min="10" max="10"/>
  </cols>
  <sheetData>
    <row r="1">
      <c r="A1" s="8" t="inlineStr">
        <is>
          <t>Date</t>
        </is>
      </c>
      <c r="B1" s="8" t="inlineStr">
        <is>
          <t>Category</t>
        </is>
      </c>
      <c r="C1" s="8" t="inlineStr">
        <is>
          <t>Sub-Category</t>
        </is>
      </c>
      <c r="D1" s="8" t="inlineStr">
        <is>
          <t>Transaction Type</t>
        </is>
      </c>
      <c r="E1" s="8" t="inlineStr">
        <is>
          <t>Asset Name</t>
        </is>
      </c>
      <c r="F1" s="8" t="inlineStr">
        <is>
          <t>Amount (₹)</t>
        </is>
      </c>
      <c r="G1" s="8" t="inlineStr">
        <is>
          <t>Units/Quantity</t>
        </is>
      </c>
      <c r="H1" s="8" t="inlineStr">
        <is>
          <t>Price</t>
        </is>
      </c>
      <c r="I1" s="8" t="inlineStr">
        <is>
          <t>Account/Folio</t>
        </is>
      </c>
      <c r="J1" s="8" t="inlineStr">
        <is>
          <t>Remarks</t>
        </is>
      </c>
    </row>
    <row r="2">
      <c r="A2" s="15" t="n">
        <v>46054</v>
      </c>
      <c r="B2" s="9" t="inlineStr">
        <is>
          <t>Mutual Funds</t>
        </is>
      </c>
      <c r="C2" s="9" t="inlineStr">
        <is>
          <t>Equity</t>
        </is>
      </c>
      <c r="D2" s="9" t="inlineStr">
        <is>
          <t>Buy</t>
        </is>
      </c>
      <c r="E2" s="9" t="inlineStr">
        <is>
          <t>HDFC Flexi Cap</t>
        </is>
      </c>
      <c r="F2" s="10" t="n">
        <v>10000</v>
      </c>
      <c r="G2" s="9" t="n">
        <v>11.75</v>
      </c>
      <c r="H2" s="9" t="n">
        <v>851.0599999999999</v>
      </c>
      <c r="I2" s="9" t="inlineStr">
        <is>
          <t>12345/67</t>
        </is>
      </c>
      <c r="J2" s="9" t="inlineStr">
        <is>
          <t>SIP</t>
        </is>
      </c>
    </row>
    <row r="3">
      <c r="A3" s="15" t="n">
        <v>46058</v>
      </c>
      <c r="B3" s="9" t="inlineStr">
        <is>
          <t>Banking</t>
        </is>
      </c>
      <c r="C3" s="9" t="inlineStr">
        <is>
          <t>FD</t>
        </is>
      </c>
      <c r="D3" s="9" t="inlineStr">
        <is>
          <t>Maturity</t>
        </is>
      </c>
      <c r="E3" s="9" t="inlineStr">
        <is>
          <t>SBI FD</t>
        </is>
      </c>
      <c r="F3" s="10" t="n">
        <v>210500</v>
      </c>
      <c r="G3" s="9" t="inlineStr">
        <is>
          <t>-</t>
        </is>
      </c>
      <c r="H3" s="9" t="inlineStr">
        <is>
          <t>-</t>
        </is>
      </c>
      <c r="I3" s="9" t="inlineStr">
        <is>
          <t>XXXX5678</t>
        </is>
      </c>
      <c r="J3" s="9" t="inlineStr">
        <is>
          <t>Reinvested</t>
        </is>
      </c>
    </row>
    <row r="4">
      <c r="A4" s="15" t="n">
        <v>46063</v>
      </c>
      <c r="B4" s="9" t="inlineStr">
        <is>
          <t>Gold</t>
        </is>
      </c>
      <c r="C4" s="9" t="inlineStr">
        <is>
          <t>Physical</t>
        </is>
      </c>
      <c r="D4" s="9" t="inlineStr">
        <is>
          <t>Buy</t>
        </is>
      </c>
      <c r="E4" s="9" t="inlineStr">
        <is>
          <t>24K Coin</t>
        </is>
      </c>
      <c r="F4" s="10" t="n">
        <v>55000</v>
      </c>
      <c r="G4" s="9" t="n">
        <v>10</v>
      </c>
      <c r="H4" s="9" t="n">
        <v>5500</v>
      </c>
      <c r="I4" s="9" t="inlineStr">
        <is>
          <t>Bank Locker</t>
        </is>
      </c>
      <c r="J4" s="9" t="inlineStr">
        <is>
          <t>-</t>
        </is>
      </c>
    </row>
    <row r="5">
      <c r="A5" s="15" t="n"/>
      <c r="B5" s="9" t="n"/>
      <c r="C5" s="9" t="n"/>
      <c r="D5" s="9" t="n"/>
      <c r="E5" s="9" t="n"/>
      <c r="F5" s="10" t="n"/>
      <c r="G5" s="9" t="n"/>
      <c r="H5" s="9" t="n"/>
      <c r="I5" s="9" t="n"/>
      <c r="J5" s="9" t="n"/>
    </row>
    <row r="6">
      <c r="A6" s="15" t="n"/>
      <c r="B6" s="9" t="n"/>
      <c r="C6" s="9" t="n"/>
      <c r="D6" s="9" t="n"/>
      <c r="E6" s="9" t="n"/>
      <c r="F6" s="10" t="n"/>
      <c r="G6" s="9" t="n"/>
      <c r="H6" s="9" t="n"/>
      <c r="I6" s="9" t="n"/>
      <c r="J6" s="9" t="n"/>
    </row>
    <row r="7">
      <c r="A7" s="15" t="n"/>
      <c r="B7" s="9" t="n"/>
      <c r="C7" s="9" t="n"/>
      <c r="D7" s="9" t="n"/>
      <c r="E7" s="9" t="n"/>
      <c r="F7" s="10" t="n"/>
      <c r="G7" s="9" t="n"/>
      <c r="H7" s="9" t="n"/>
      <c r="I7" s="9" t="n"/>
      <c r="J7" s="9" t="n"/>
    </row>
    <row r="8">
      <c r="A8" s="15" t="n"/>
      <c r="B8" s="9" t="n"/>
      <c r="C8" s="9" t="n"/>
      <c r="D8" s="9" t="n"/>
      <c r="E8" s="9" t="n"/>
      <c r="F8" s="10" t="n"/>
      <c r="G8" s="9" t="n"/>
      <c r="H8" s="9" t="n"/>
      <c r="I8" s="9" t="n"/>
      <c r="J8" s="9" t="n"/>
    </row>
    <row r="9">
      <c r="A9" s="15" t="n"/>
      <c r="B9" s="9" t="n"/>
      <c r="C9" s="9" t="n"/>
      <c r="D9" s="9" t="n"/>
      <c r="E9" s="9" t="n"/>
      <c r="F9" s="10" t="n"/>
      <c r="G9" s="9" t="n"/>
      <c r="H9" s="9" t="n"/>
      <c r="I9" s="9" t="n"/>
      <c r="J9" s="9" t="n"/>
    </row>
    <row r="10">
      <c r="A10" s="15" t="n"/>
      <c r="B10" s="9" t="n"/>
      <c r="C10" s="9" t="n"/>
      <c r="D10" s="9" t="n"/>
      <c r="E10" s="9" t="n"/>
      <c r="F10" s="10" t="n"/>
      <c r="G10" s="9" t="n"/>
      <c r="H10" s="9" t="n"/>
      <c r="I10" s="9" t="n"/>
      <c r="J10" s="9" t="n"/>
    </row>
    <row r="11">
      <c r="A11" s="15" t="n"/>
      <c r="B11" s="9" t="n"/>
      <c r="C11" s="9" t="n"/>
      <c r="D11" s="9" t="n"/>
      <c r="E11" s="9" t="n"/>
      <c r="F11" s="10" t="n"/>
      <c r="G11" s="9" t="n"/>
      <c r="H11" s="9" t="n"/>
      <c r="I11" s="9" t="n"/>
      <c r="J11" s="9" t="n"/>
    </row>
    <row r="12">
      <c r="A12" s="15" t="n"/>
      <c r="B12" s="9" t="n"/>
      <c r="C12" s="9" t="n"/>
      <c r="D12" s="9" t="n"/>
      <c r="E12" s="9" t="n"/>
      <c r="F12" s="10" t="n"/>
      <c r="G12" s="9" t="n"/>
      <c r="H12" s="9" t="n"/>
      <c r="I12" s="9" t="n"/>
      <c r="J12" s="9" t="n"/>
    </row>
    <row r="13">
      <c r="A13" s="15" t="n"/>
      <c r="B13" s="9" t="n"/>
      <c r="C13" s="9" t="n"/>
      <c r="D13" s="9" t="n"/>
      <c r="E13" s="9" t="n"/>
      <c r="F13" s="10" t="n"/>
      <c r="G13" s="9" t="n"/>
      <c r="H13" s="9" t="n"/>
      <c r="I13" s="9" t="n"/>
      <c r="J13" s="9" t="n"/>
    </row>
    <row r="14">
      <c r="A14" s="15" t="n"/>
      <c r="B14" s="9" t="n"/>
      <c r="C14" s="9" t="n"/>
      <c r="D14" s="9" t="n"/>
      <c r="E14" s="9" t="n"/>
      <c r="F14" s="10" t="n"/>
      <c r="G14" s="9" t="n"/>
      <c r="H14" s="9" t="n"/>
      <c r="I14" s="9" t="n"/>
      <c r="J14" s="9" t="n"/>
    </row>
    <row r="15">
      <c r="A15" s="15" t="n"/>
      <c r="B15" s="9" t="n"/>
      <c r="C15" s="9" t="n"/>
      <c r="D15" s="9" t="n"/>
      <c r="E15" s="9" t="n"/>
      <c r="F15" s="10" t="n"/>
      <c r="G15" s="9" t="n"/>
      <c r="H15" s="9" t="n"/>
      <c r="I15" s="9" t="n"/>
      <c r="J15" s="9" t="n"/>
    </row>
    <row r="16">
      <c r="A16" s="15" t="n"/>
      <c r="B16" s="9" t="n"/>
      <c r="C16" s="9" t="n"/>
      <c r="D16" s="9" t="n"/>
      <c r="E16" s="9" t="n"/>
      <c r="F16" s="10" t="n"/>
      <c r="G16" s="9" t="n"/>
      <c r="H16" s="9" t="n"/>
      <c r="I16" s="9" t="n"/>
      <c r="J16" s="9" t="n"/>
    </row>
    <row r="17">
      <c r="A17" s="15" t="n"/>
      <c r="B17" s="9" t="n"/>
      <c r="C17" s="9" t="n"/>
      <c r="D17" s="9" t="n"/>
      <c r="E17" s="9" t="n"/>
      <c r="F17" s="10" t="n"/>
      <c r="G17" s="9" t="n"/>
      <c r="H17" s="9" t="n"/>
      <c r="I17" s="9" t="n"/>
      <c r="J17" s="9" t="n"/>
    </row>
    <row r="18">
      <c r="A18" s="15" t="n"/>
      <c r="B18" s="9" t="n"/>
      <c r="C18" s="9" t="n"/>
      <c r="D18" s="9" t="n"/>
      <c r="E18" s="9" t="n"/>
      <c r="F18" s="10" t="n"/>
      <c r="G18" s="9" t="n"/>
      <c r="H18" s="9" t="n"/>
      <c r="I18" s="9" t="n"/>
      <c r="J18" s="9" t="n"/>
    </row>
    <row r="19">
      <c r="A19" s="15" t="n"/>
      <c r="B19" s="9" t="n"/>
      <c r="C19" s="9" t="n"/>
      <c r="D19" s="9" t="n"/>
      <c r="E19" s="9" t="n"/>
      <c r="F19" s="10" t="n"/>
      <c r="G19" s="9" t="n"/>
      <c r="H19" s="9" t="n"/>
      <c r="I19" s="9" t="n"/>
      <c r="J19" s="9" t="n"/>
    </row>
    <row r="20">
      <c r="A20" s="15" t="n"/>
      <c r="B20" s="9" t="n"/>
      <c r="C20" s="9" t="n"/>
      <c r="D20" s="9" t="n"/>
      <c r="E20" s="9" t="n"/>
      <c r="F20" s="10" t="n"/>
      <c r="G20" s="9" t="n"/>
      <c r="H20" s="9" t="n"/>
      <c r="I20" s="9" t="n"/>
      <c r="J20" s="9" t="n"/>
    </row>
    <row r="21">
      <c r="A21" s="15" t="n"/>
      <c r="B21" s="9" t="n"/>
      <c r="C21" s="9" t="n"/>
      <c r="D21" s="9" t="n"/>
      <c r="E21" s="9" t="n"/>
      <c r="F21" s="10" t="n"/>
      <c r="G21" s="9" t="n"/>
      <c r="H21" s="9" t="n"/>
      <c r="I21" s="9" t="n"/>
      <c r="J21" s="9" t="n"/>
    </row>
    <row r="22">
      <c r="A22" s="15" t="n"/>
      <c r="B22" s="9" t="n"/>
      <c r="C22" s="9" t="n"/>
      <c r="D22" s="9" t="n"/>
      <c r="E22" s="9" t="n"/>
      <c r="F22" s="10" t="n"/>
      <c r="G22" s="9" t="n"/>
      <c r="H22" s="9" t="n"/>
      <c r="I22" s="9" t="n"/>
      <c r="J22" s="9" t="n"/>
    </row>
    <row r="23">
      <c r="A23" s="15" t="n"/>
      <c r="B23" s="9" t="n"/>
      <c r="C23" s="9" t="n"/>
      <c r="D23" s="9" t="n"/>
      <c r="E23" s="9" t="n"/>
      <c r="F23" s="10" t="n"/>
      <c r="G23" s="9" t="n"/>
      <c r="H23" s="9" t="n"/>
      <c r="I23" s="9" t="n"/>
      <c r="J23" s="9" t="n"/>
    </row>
    <row r="24">
      <c r="A24" s="15" t="n"/>
      <c r="B24" s="9" t="n"/>
      <c r="C24" s="9" t="n"/>
      <c r="D24" s="9" t="n"/>
      <c r="E24" s="9" t="n"/>
      <c r="F24" s="10" t="n"/>
      <c r="G24" s="9" t="n"/>
      <c r="H24" s="9" t="n"/>
      <c r="I24" s="9" t="n"/>
      <c r="J24" s="9" t="n"/>
    </row>
    <row r="25">
      <c r="A25" s="15" t="n"/>
      <c r="B25" s="9" t="n"/>
      <c r="C25" s="9" t="n"/>
      <c r="D25" s="9" t="n"/>
      <c r="E25" s="9" t="n"/>
      <c r="F25" s="10" t="n"/>
      <c r="G25" s="9" t="n"/>
      <c r="H25" s="9" t="n"/>
      <c r="I25" s="9" t="n"/>
      <c r="J25" s="9" t="n"/>
    </row>
    <row r="26">
      <c r="A26" s="15" t="n"/>
      <c r="B26" s="9" t="n"/>
      <c r="C26" s="9" t="n"/>
      <c r="D26" s="9" t="n"/>
      <c r="E26" s="9" t="n"/>
      <c r="F26" s="10" t="n"/>
      <c r="G26" s="9" t="n"/>
      <c r="H26" s="9" t="n"/>
      <c r="I26" s="9" t="n"/>
      <c r="J26" s="9" t="n"/>
    </row>
    <row r="27">
      <c r="A27" s="15" t="n"/>
      <c r="B27" s="9" t="n"/>
      <c r="C27" s="9" t="n"/>
      <c r="D27" s="9" t="n"/>
      <c r="E27" s="9" t="n"/>
      <c r="F27" s="10" t="n"/>
      <c r="G27" s="9" t="n"/>
      <c r="H27" s="9" t="n"/>
      <c r="I27" s="9" t="n"/>
      <c r="J27" s="9" t="n"/>
    </row>
    <row r="28">
      <c r="A28" s="15" t="n"/>
      <c r="B28" s="9" t="n"/>
      <c r="C28" s="9" t="n"/>
      <c r="D28" s="9" t="n"/>
      <c r="E28" s="9" t="n"/>
      <c r="F28" s="10" t="n"/>
      <c r="G28" s="9" t="n"/>
      <c r="H28" s="9" t="n"/>
      <c r="I28" s="9" t="n"/>
      <c r="J28" s="9" t="n"/>
    </row>
    <row r="29">
      <c r="A29" s="15" t="n"/>
      <c r="B29" s="9" t="n"/>
      <c r="C29" s="9" t="n"/>
      <c r="D29" s="9" t="n"/>
      <c r="E29" s="9" t="n"/>
      <c r="F29" s="10" t="n"/>
      <c r="G29" s="9" t="n"/>
      <c r="H29" s="9" t="n"/>
      <c r="I29" s="9" t="n"/>
      <c r="J29" s="9" t="n"/>
    </row>
    <row r="30">
      <c r="A30" s="15" t="n"/>
      <c r="B30" s="9" t="n"/>
      <c r="C30" s="9" t="n"/>
      <c r="D30" s="9" t="n"/>
      <c r="E30" s="9" t="n"/>
      <c r="F30" s="10" t="n"/>
      <c r="G30" s="9" t="n"/>
      <c r="H30" s="9" t="n"/>
      <c r="I30" s="9" t="n"/>
      <c r="J30" s="9" t="n"/>
    </row>
    <row r="31">
      <c r="A31" s="15" t="n"/>
      <c r="B31" s="9" t="n"/>
      <c r="C31" s="9" t="n"/>
      <c r="D31" s="9" t="n"/>
      <c r="E31" s="9" t="n"/>
      <c r="F31" s="10" t="n"/>
      <c r="G31" s="9" t="n"/>
      <c r="H31" s="9" t="n"/>
      <c r="I31" s="9" t="n"/>
      <c r="J31" s="9" t="n"/>
    </row>
    <row r="32">
      <c r="A32" s="15" t="n"/>
      <c r="B32" s="9" t="n"/>
      <c r="C32" s="9" t="n"/>
      <c r="D32" s="9" t="n"/>
      <c r="E32" s="9" t="n"/>
      <c r="F32" s="10" t="n"/>
      <c r="G32" s="9" t="n"/>
      <c r="H32" s="9" t="n"/>
      <c r="I32" s="9" t="n"/>
      <c r="J32" s="9" t="n"/>
    </row>
    <row r="33">
      <c r="A33" s="15" t="n"/>
      <c r="B33" s="9" t="n"/>
      <c r="C33" s="9" t="n"/>
      <c r="D33" s="9" t="n"/>
      <c r="E33" s="9" t="n"/>
      <c r="F33" s="10" t="n"/>
      <c r="G33" s="9" t="n"/>
      <c r="H33" s="9" t="n"/>
      <c r="I33" s="9" t="n"/>
      <c r="J33" s="9" t="n"/>
    </row>
    <row r="34">
      <c r="A34" s="15" t="n"/>
      <c r="B34" s="9" t="n"/>
      <c r="C34" s="9" t="n"/>
      <c r="D34" s="9" t="n"/>
      <c r="E34" s="9" t="n"/>
      <c r="F34" s="10" t="n"/>
      <c r="G34" s="9" t="n"/>
      <c r="H34" s="9" t="n"/>
      <c r="I34" s="9" t="n"/>
      <c r="J34" s="9" t="n"/>
    </row>
    <row r="35">
      <c r="A35" s="15" t="n"/>
      <c r="B35" s="9" t="n"/>
      <c r="C35" s="9" t="n"/>
      <c r="D35" s="9" t="n"/>
      <c r="E35" s="9" t="n"/>
      <c r="F35" s="10" t="n"/>
      <c r="G35" s="9" t="n"/>
      <c r="H35" s="9" t="n"/>
      <c r="I35" s="9" t="n"/>
      <c r="J35" s="9" t="n"/>
    </row>
    <row r="36">
      <c r="A36" s="15" t="n"/>
      <c r="B36" s="9" t="n"/>
      <c r="C36" s="9" t="n"/>
      <c r="D36" s="9" t="n"/>
      <c r="E36" s="9" t="n"/>
      <c r="F36" s="10" t="n"/>
      <c r="G36" s="9" t="n"/>
      <c r="H36" s="9" t="n"/>
      <c r="I36" s="9" t="n"/>
      <c r="J36" s="9" t="n"/>
    </row>
    <row r="37">
      <c r="A37" s="15" t="n"/>
      <c r="B37" s="9" t="n"/>
      <c r="C37" s="9" t="n"/>
      <c r="D37" s="9" t="n"/>
      <c r="E37" s="9" t="n"/>
      <c r="F37" s="10" t="n"/>
      <c r="G37" s="9" t="n"/>
      <c r="H37" s="9" t="n"/>
      <c r="I37" s="9" t="n"/>
      <c r="J37" s="9" t="n"/>
    </row>
    <row r="38">
      <c r="A38" s="15" t="n"/>
      <c r="B38" s="9" t="n"/>
      <c r="C38" s="9" t="n"/>
      <c r="D38" s="9" t="n"/>
      <c r="E38" s="9" t="n"/>
      <c r="F38" s="10" t="n"/>
      <c r="G38" s="9" t="n"/>
      <c r="H38" s="9" t="n"/>
      <c r="I38" s="9" t="n"/>
      <c r="J38" s="9" t="n"/>
    </row>
    <row r="39">
      <c r="A39" s="15" t="n"/>
      <c r="B39" s="9" t="n"/>
      <c r="C39" s="9" t="n"/>
      <c r="D39" s="9" t="n"/>
      <c r="E39" s="9" t="n"/>
      <c r="F39" s="10" t="n"/>
      <c r="G39" s="9" t="n"/>
      <c r="H39" s="9" t="n"/>
      <c r="I39" s="9" t="n"/>
      <c r="J39" s="9" t="n"/>
    </row>
    <row r="40">
      <c r="A40" s="15" t="n"/>
      <c r="B40" s="9" t="n"/>
      <c r="C40" s="9" t="n"/>
      <c r="D40" s="9" t="n"/>
      <c r="E40" s="9" t="n"/>
      <c r="F40" s="10" t="n"/>
      <c r="G40" s="9" t="n"/>
      <c r="H40" s="9" t="n"/>
      <c r="I40" s="9" t="n"/>
      <c r="J40" s="9" t="n"/>
    </row>
    <row r="41">
      <c r="A41" s="15" t="n"/>
      <c r="B41" s="9" t="n"/>
      <c r="C41" s="9" t="n"/>
      <c r="D41" s="9" t="n"/>
      <c r="E41" s="9" t="n"/>
      <c r="F41" s="10" t="n"/>
      <c r="G41" s="9" t="n"/>
      <c r="H41" s="9" t="n"/>
      <c r="I41" s="9" t="n"/>
      <c r="J41" s="9" t="n"/>
    </row>
    <row r="42">
      <c r="A42" s="15" t="n"/>
      <c r="B42" s="9" t="n"/>
      <c r="C42" s="9" t="n"/>
      <c r="D42" s="9" t="n"/>
      <c r="E42" s="9" t="n"/>
      <c r="F42" s="10" t="n"/>
      <c r="G42" s="9" t="n"/>
      <c r="H42" s="9" t="n"/>
      <c r="I42" s="9" t="n"/>
      <c r="J42" s="9" t="n"/>
    </row>
    <row r="43">
      <c r="A43" s="15" t="n"/>
      <c r="B43" s="9" t="n"/>
      <c r="C43" s="9" t="n"/>
      <c r="D43" s="9" t="n"/>
      <c r="E43" s="9" t="n"/>
      <c r="F43" s="10" t="n"/>
      <c r="G43" s="9" t="n"/>
      <c r="H43" s="9" t="n"/>
      <c r="I43" s="9" t="n"/>
      <c r="J43" s="9" t="n"/>
    </row>
    <row r="44">
      <c r="A44" s="15" t="n"/>
      <c r="B44" s="9" t="n"/>
      <c r="C44" s="9" t="n"/>
      <c r="D44" s="9" t="n"/>
      <c r="E44" s="9" t="n"/>
      <c r="F44" s="10" t="n"/>
      <c r="G44" s="9" t="n"/>
      <c r="H44" s="9" t="n"/>
      <c r="I44" s="9" t="n"/>
      <c r="J44" s="9" t="n"/>
    </row>
    <row r="45">
      <c r="A45" s="15" t="n"/>
      <c r="B45" s="9" t="n"/>
      <c r="C45" s="9" t="n"/>
      <c r="D45" s="9" t="n"/>
      <c r="E45" s="9" t="n"/>
      <c r="F45" s="10" t="n"/>
      <c r="G45" s="9" t="n"/>
      <c r="H45" s="9" t="n"/>
      <c r="I45" s="9" t="n"/>
      <c r="J45" s="9" t="n"/>
    </row>
    <row r="46">
      <c r="A46" s="15" t="n"/>
      <c r="B46" s="9" t="n"/>
      <c r="C46" s="9" t="n"/>
      <c r="D46" s="9" t="n"/>
      <c r="E46" s="9" t="n"/>
      <c r="F46" s="10" t="n"/>
      <c r="G46" s="9" t="n"/>
      <c r="H46" s="9" t="n"/>
      <c r="I46" s="9" t="n"/>
      <c r="J46" s="9" t="n"/>
    </row>
    <row r="47">
      <c r="A47" s="15" t="n"/>
      <c r="B47" s="9" t="n"/>
      <c r="C47" s="9" t="n"/>
      <c r="D47" s="9" t="n"/>
      <c r="E47" s="9" t="n"/>
      <c r="F47" s="10" t="n"/>
      <c r="G47" s="9" t="n"/>
      <c r="H47" s="9" t="n"/>
      <c r="I47" s="9" t="n"/>
      <c r="J47" s="9" t="n"/>
    </row>
    <row r="48">
      <c r="A48" s="15" t="n"/>
      <c r="B48" s="9" t="n"/>
      <c r="C48" s="9" t="n"/>
      <c r="D48" s="9" t="n"/>
      <c r="E48" s="9" t="n"/>
      <c r="F48" s="10" t="n"/>
      <c r="G48" s="9" t="n"/>
      <c r="H48" s="9" t="n"/>
      <c r="I48" s="9" t="n"/>
      <c r="J48" s="9" t="n"/>
    </row>
    <row r="49">
      <c r="A49" s="15" t="n"/>
      <c r="B49" s="9" t="n"/>
      <c r="C49" s="9" t="n"/>
      <c r="D49" s="9" t="n"/>
      <c r="E49" s="9" t="n"/>
      <c r="F49" s="10" t="n"/>
      <c r="G49" s="9" t="n"/>
      <c r="H49" s="9" t="n"/>
      <c r="I49" s="9" t="n"/>
      <c r="J49" s="9" t="n"/>
    </row>
    <row r="50">
      <c r="A50" s="15" t="n"/>
      <c r="B50" s="9" t="n"/>
      <c r="C50" s="9" t="n"/>
      <c r="D50" s="9" t="n"/>
      <c r="E50" s="9" t="n"/>
      <c r="F50" s="10" t="n"/>
      <c r="G50" s="9" t="n"/>
      <c r="H50" s="9" t="n"/>
      <c r="I50" s="9" t="n"/>
      <c r="J50" s="9" t="n"/>
    </row>
    <row r="51">
      <c r="A51" s="2" t="n"/>
      <c r="F51" s="5" t="n"/>
    </row>
    <row r="52">
      <c r="A52" s="2" t="n"/>
      <c r="F52" s="5" t="n"/>
    </row>
    <row r="53">
      <c r="A53" s="2" t="n"/>
      <c r="F53" s="5" t="n"/>
    </row>
    <row r="54">
      <c r="A54" s="2" t="n"/>
      <c r="F54" s="5" t="n"/>
    </row>
    <row r="55">
      <c r="A55" s="2" t="n"/>
      <c r="F55" s="5" t="n"/>
    </row>
    <row r="56">
      <c r="A56" s="2" t="n"/>
      <c r="F56" s="5" t="n"/>
    </row>
    <row r="57">
      <c r="A57" s="2" t="n"/>
      <c r="F57" s="5" t="n"/>
    </row>
    <row r="58">
      <c r="A58" s="2" t="n"/>
      <c r="F58" s="5" t="n"/>
    </row>
    <row r="59">
      <c r="A59" s="2" t="n"/>
      <c r="F59" s="5" t="n"/>
    </row>
    <row r="60">
      <c r="A60" s="2" t="n"/>
      <c r="F60" s="5" t="n"/>
    </row>
    <row r="61">
      <c r="A61" s="2" t="n"/>
      <c r="F61" s="5" t="n"/>
    </row>
    <row r="62">
      <c r="A62" s="2" t="n"/>
      <c r="F62" s="5" t="n"/>
    </row>
    <row r="63">
      <c r="A63" s="2" t="n"/>
      <c r="F63" s="5" t="n"/>
    </row>
    <row r="64">
      <c r="A64" s="2" t="n"/>
      <c r="F64" s="5" t="n"/>
    </row>
    <row r="65">
      <c r="A65" s="2" t="n"/>
      <c r="F65" s="5" t="n"/>
    </row>
    <row r="66">
      <c r="A66" s="2" t="n"/>
      <c r="F66" s="5" t="n"/>
    </row>
    <row r="67">
      <c r="A67" s="2" t="n"/>
      <c r="F67" s="5" t="n"/>
    </row>
    <row r="68">
      <c r="A68" s="2" t="n"/>
      <c r="F68" s="5" t="n"/>
    </row>
    <row r="69">
      <c r="A69" s="2" t="n"/>
      <c r="F69" s="5" t="n"/>
    </row>
    <row r="70">
      <c r="A70" s="2" t="n"/>
      <c r="F70" s="5" t="n"/>
    </row>
    <row r="71">
      <c r="A71" s="2" t="n"/>
      <c r="F71" s="5" t="n"/>
    </row>
    <row r="72">
      <c r="A72" s="2" t="n"/>
      <c r="F72" s="5" t="n"/>
    </row>
    <row r="73">
      <c r="A73" s="2" t="n"/>
      <c r="F73" s="5" t="n"/>
    </row>
    <row r="74">
      <c r="A74" s="2" t="n"/>
      <c r="F74" s="5" t="n"/>
    </row>
    <row r="75">
      <c r="A75" s="2" t="n"/>
      <c r="F75" s="5" t="n"/>
    </row>
    <row r="76">
      <c r="A76" s="2" t="n"/>
      <c r="F76" s="5" t="n"/>
    </row>
    <row r="77">
      <c r="A77" s="2" t="n"/>
      <c r="F77" s="5" t="n"/>
    </row>
    <row r="78">
      <c r="A78" s="2" t="n"/>
      <c r="F78" s="5" t="n"/>
    </row>
    <row r="79">
      <c r="A79" s="2" t="n"/>
      <c r="F79" s="5" t="n"/>
    </row>
    <row r="80">
      <c r="A80" s="2" t="n"/>
      <c r="F80" s="5" t="n"/>
    </row>
    <row r="81">
      <c r="A81" s="2" t="n"/>
      <c r="F81" s="5" t="n"/>
    </row>
    <row r="82">
      <c r="A82" s="2" t="n"/>
      <c r="F82" s="5" t="n"/>
    </row>
    <row r="83">
      <c r="A83" s="2" t="n"/>
      <c r="F83" s="5" t="n"/>
    </row>
    <row r="84">
      <c r="A84" s="2" t="n"/>
      <c r="F84" s="5" t="n"/>
    </row>
    <row r="85">
      <c r="A85" s="2" t="n"/>
      <c r="F85" s="5" t="n"/>
    </row>
    <row r="86">
      <c r="A86" s="2" t="n"/>
      <c r="F86" s="5" t="n"/>
    </row>
    <row r="87">
      <c r="A87" s="2" t="n"/>
      <c r="F87" s="5" t="n"/>
    </row>
    <row r="88">
      <c r="A88" s="2" t="n"/>
      <c r="F88" s="5" t="n"/>
    </row>
    <row r="89">
      <c r="A89" s="2" t="n"/>
      <c r="F89" s="5" t="n"/>
    </row>
    <row r="90">
      <c r="A90" s="2" t="n"/>
      <c r="F90" s="5" t="n"/>
    </row>
    <row r="91">
      <c r="A91" s="2" t="n"/>
      <c r="F91" s="5" t="n"/>
    </row>
    <row r="92">
      <c r="A92" s="2" t="n"/>
      <c r="F92" s="5" t="n"/>
    </row>
    <row r="93">
      <c r="A93" s="2" t="n"/>
      <c r="F93" s="5" t="n"/>
    </row>
    <row r="94">
      <c r="A94" s="2" t="n"/>
      <c r="F94" s="5" t="n"/>
    </row>
    <row r="95">
      <c r="A95" s="2" t="n"/>
      <c r="F95" s="5" t="n"/>
    </row>
    <row r="96">
      <c r="A96" s="2" t="n"/>
      <c r="F96" s="5" t="n"/>
    </row>
    <row r="97">
      <c r="A97" s="2" t="n"/>
      <c r="F97" s="5" t="n"/>
    </row>
    <row r="98">
      <c r="A98" s="2" t="n"/>
      <c r="F98" s="5" t="n"/>
    </row>
    <row r="99">
      <c r="A99" s="2" t="n"/>
      <c r="F99" s="5" t="n"/>
    </row>
    <row r="100">
      <c r="A100" s="2" t="n"/>
      <c r="F100" s="5" t="n"/>
    </row>
    <row r="101">
      <c r="A101" s="2" t="n"/>
      <c r="F101" s="5" t="n"/>
    </row>
    <row r="102">
      <c r="A102" s="2" t="n"/>
      <c r="F102" s="5" t="n"/>
    </row>
    <row r="103">
      <c r="A103" s="2" t="n"/>
      <c r="F103" s="5" t="n"/>
    </row>
    <row r="104">
      <c r="A104" s="2" t="n"/>
      <c r="F104" s="5" t="n"/>
    </row>
    <row r="105">
      <c r="A105" s="2" t="n"/>
      <c r="F105" s="5" t="n"/>
    </row>
    <row r="106">
      <c r="A106" s="2" t="n"/>
      <c r="F106" s="5" t="n"/>
    </row>
    <row r="107">
      <c r="A107" s="2" t="n"/>
      <c r="F107" s="5" t="n"/>
    </row>
    <row r="108">
      <c r="A108" s="2" t="n"/>
      <c r="F108" s="5" t="n"/>
    </row>
    <row r="109">
      <c r="A109" s="2" t="n"/>
      <c r="F109" s="5" t="n"/>
    </row>
    <row r="110">
      <c r="A110" s="2" t="n"/>
      <c r="F110" s="5" t="n"/>
    </row>
    <row r="111">
      <c r="A111" s="2" t="n"/>
      <c r="F111" s="5" t="n"/>
    </row>
    <row r="112">
      <c r="A112" s="2" t="n"/>
      <c r="F112" s="5" t="n"/>
    </row>
    <row r="113">
      <c r="A113" s="2" t="n"/>
      <c r="F113" s="5" t="n"/>
    </row>
    <row r="114">
      <c r="A114" s="2" t="n"/>
      <c r="F114" s="5" t="n"/>
    </row>
    <row r="115">
      <c r="A115" s="2" t="n"/>
      <c r="F115" s="5" t="n"/>
    </row>
    <row r="116">
      <c r="A116" s="2" t="n"/>
      <c r="F116" s="5" t="n"/>
    </row>
    <row r="117">
      <c r="A117" s="2" t="n"/>
      <c r="F117" s="5" t="n"/>
    </row>
    <row r="118">
      <c r="A118" s="2" t="n"/>
      <c r="F118" s="5" t="n"/>
    </row>
    <row r="119">
      <c r="A119" s="2" t="n"/>
      <c r="F119" s="5" t="n"/>
    </row>
    <row r="120">
      <c r="A120" s="2" t="n"/>
      <c r="F120" s="5" t="n"/>
    </row>
    <row r="121">
      <c r="A121" s="2" t="n"/>
      <c r="F121" s="5" t="n"/>
    </row>
    <row r="122">
      <c r="A122" s="2" t="n"/>
      <c r="F122" s="5" t="n"/>
    </row>
    <row r="123">
      <c r="A123" s="2" t="n"/>
      <c r="F123" s="5" t="n"/>
    </row>
    <row r="124">
      <c r="A124" s="2" t="n"/>
      <c r="F124" s="5" t="n"/>
    </row>
    <row r="125">
      <c r="A125" s="2" t="n"/>
      <c r="F125" s="5" t="n"/>
    </row>
    <row r="126">
      <c r="A126" s="2" t="n"/>
      <c r="F126" s="5" t="n"/>
    </row>
    <row r="127">
      <c r="A127" s="2" t="n"/>
      <c r="F127" s="5" t="n"/>
    </row>
    <row r="128">
      <c r="A128" s="2" t="n"/>
      <c r="F128" s="5" t="n"/>
    </row>
    <row r="129">
      <c r="A129" s="2" t="n"/>
      <c r="F129" s="5" t="n"/>
    </row>
    <row r="130">
      <c r="A130" s="2" t="n"/>
      <c r="F130" s="5" t="n"/>
    </row>
    <row r="131">
      <c r="A131" s="2" t="n"/>
      <c r="F131" s="5" t="n"/>
    </row>
    <row r="132">
      <c r="A132" s="2" t="n"/>
      <c r="F132" s="5" t="n"/>
    </row>
    <row r="133">
      <c r="A133" s="2" t="n"/>
      <c r="F133" s="5" t="n"/>
    </row>
    <row r="134">
      <c r="A134" s="2" t="n"/>
      <c r="F134" s="5" t="n"/>
    </row>
    <row r="135">
      <c r="A135" s="2" t="n"/>
      <c r="F135" s="5" t="n"/>
    </row>
    <row r="136">
      <c r="A136" s="2" t="n"/>
      <c r="F136" s="5" t="n"/>
    </row>
    <row r="137">
      <c r="A137" s="2" t="n"/>
      <c r="F137" s="5" t="n"/>
    </row>
    <row r="138">
      <c r="A138" s="2" t="n"/>
      <c r="F138" s="5" t="n"/>
    </row>
    <row r="139">
      <c r="A139" s="2" t="n"/>
      <c r="F139" s="5" t="n"/>
    </row>
    <row r="140">
      <c r="A140" s="2" t="n"/>
      <c r="F140" s="5" t="n"/>
    </row>
    <row r="141">
      <c r="A141" s="2" t="n"/>
      <c r="F141" s="5" t="n"/>
    </row>
    <row r="142">
      <c r="A142" s="2" t="n"/>
      <c r="F142" s="5" t="n"/>
    </row>
    <row r="143">
      <c r="A143" s="2" t="n"/>
      <c r="F143" s="5" t="n"/>
    </row>
    <row r="144">
      <c r="A144" s="2" t="n"/>
      <c r="F144" s="5" t="n"/>
    </row>
    <row r="145">
      <c r="A145" s="2" t="n"/>
      <c r="F145" s="5" t="n"/>
    </row>
    <row r="146">
      <c r="A146" s="2" t="n"/>
      <c r="F146" s="5" t="n"/>
    </row>
    <row r="147">
      <c r="A147" s="2" t="n"/>
      <c r="F147" s="5" t="n"/>
    </row>
    <row r="148">
      <c r="A148" s="2" t="n"/>
      <c r="F148" s="5" t="n"/>
    </row>
    <row r="149">
      <c r="A149" s="2" t="n"/>
      <c r="F149" s="5" t="n"/>
    </row>
    <row r="150">
      <c r="A150" s="2" t="n"/>
      <c r="F150" s="5" t="n"/>
    </row>
    <row r="151">
      <c r="A151" s="2" t="n"/>
      <c r="F151" s="5" t="n"/>
    </row>
    <row r="152">
      <c r="A152" s="2" t="n"/>
      <c r="F152" s="5" t="n"/>
    </row>
    <row r="153">
      <c r="A153" s="2" t="n"/>
      <c r="F153" s="5" t="n"/>
    </row>
    <row r="154">
      <c r="A154" s="2" t="n"/>
      <c r="F154" s="5" t="n"/>
    </row>
    <row r="155">
      <c r="A155" s="2" t="n"/>
      <c r="F155" s="5" t="n"/>
    </row>
    <row r="156">
      <c r="A156" s="2" t="n"/>
      <c r="F156" s="5" t="n"/>
    </row>
    <row r="157">
      <c r="A157" s="2" t="n"/>
      <c r="F157" s="5" t="n"/>
    </row>
    <row r="158">
      <c r="A158" s="2" t="n"/>
      <c r="F158" s="5" t="n"/>
    </row>
    <row r="159">
      <c r="A159" s="2" t="n"/>
      <c r="F159" s="5" t="n"/>
    </row>
    <row r="160">
      <c r="A160" s="2" t="n"/>
      <c r="F160" s="5" t="n"/>
    </row>
    <row r="161">
      <c r="A161" s="2" t="n"/>
      <c r="F161" s="5" t="n"/>
    </row>
    <row r="162">
      <c r="A162" s="2" t="n"/>
      <c r="F162" s="5" t="n"/>
    </row>
    <row r="163">
      <c r="A163" s="2" t="n"/>
      <c r="F163" s="5" t="n"/>
    </row>
    <row r="164">
      <c r="A164" s="2" t="n"/>
      <c r="F164" s="5" t="n"/>
    </row>
    <row r="165">
      <c r="A165" s="2" t="n"/>
      <c r="F165" s="5" t="n"/>
    </row>
    <row r="166">
      <c r="A166" s="2" t="n"/>
      <c r="F166" s="5" t="n"/>
    </row>
    <row r="167">
      <c r="A167" s="2" t="n"/>
      <c r="F167" s="5" t="n"/>
    </row>
    <row r="168">
      <c r="A168" s="2" t="n"/>
      <c r="F168" s="5" t="n"/>
    </row>
    <row r="169">
      <c r="A169" s="2" t="n"/>
      <c r="F169" s="5" t="n"/>
    </row>
    <row r="170">
      <c r="A170" s="2" t="n"/>
      <c r="F170" s="5" t="n"/>
    </row>
    <row r="171">
      <c r="A171" s="2" t="n"/>
      <c r="F171" s="5" t="n"/>
    </row>
    <row r="172">
      <c r="A172" s="2" t="n"/>
      <c r="F172" s="5" t="n"/>
    </row>
    <row r="173">
      <c r="A173" s="2" t="n"/>
      <c r="F173" s="5" t="n"/>
    </row>
    <row r="174">
      <c r="A174" s="2" t="n"/>
      <c r="F174" s="5" t="n"/>
    </row>
    <row r="175">
      <c r="A175" s="2" t="n"/>
      <c r="F175" s="5" t="n"/>
    </row>
    <row r="176">
      <c r="A176" s="2" t="n"/>
      <c r="F176" s="5" t="n"/>
    </row>
    <row r="177">
      <c r="A177" s="2" t="n"/>
      <c r="F177" s="5" t="n"/>
    </row>
    <row r="178">
      <c r="A178" s="2" t="n"/>
      <c r="F178" s="5" t="n"/>
    </row>
    <row r="179">
      <c r="A179" s="2" t="n"/>
      <c r="F179" s="5" t="n"/>
    </row>
    <row r="180">
      <c r="A180" s="2" t="n"/>
      <c r="F180" s="5" t="n"/>
    </row>
    <row r="181">
      <c r="A181" s="2" t="n"/>
      <c r="F181" s="5" t="n"/>
    </row>
    <row r="182">
      <c r="A182" s="2" t="n"/>
      <c r="F182" s="5" t="n"/>
    </row>
    <row r="183">
      <c r="A183" s="2" t="n"/>
      <c r="F183" s="5" t="n"/>
    </row>
    <row r="184">
      <c r="A184" s="2" t="n"/>
      <c r="F184" s="5" t="n"/>
    </row>
    <row r="185">
      <c r="A185" s="2" t="n"/>
      <c r="F185" s="5" t="n"/>
    </row>
    <row r="186">
      <c r="A186" s="2" t="n"/>
      <c r="F186" s="5" t="n"/>
    </row>
    <row r="187">
      <c r="A187" s="2" t="n"/>
      <c r="F187" s="5" t="n"/>
    </row>
    <row r="188">
      <c r="A188" s="2" t="n"/>
      <c r="F188" s="5" t="n"/>
    </row>
    <row r="189">
      <c r="A189" s="2" t="n"/>
      <c r="F189" s="5" t="n"/>
    </row>
    <row r="190">
      <c r="A190" s="2" t="n"/>
      <c r="F190" s="5" t="n"/>
    </row>
    <row r="191">
      <c r="A191" s="2" t="n"/>
      <c r="F191" s="5" t="n"/>
    </row>
    <row r="192">
      <c r="A192" s="2" t="n"/>
      <c r="F192" s="5" t="n"/>
    </row>
    <row r="193">
      <c r="A193" s="2" t="n"/>
      <c r="F193" s="5" t="n"/>
    </row>
    <row r="194">
      <c r="A194" s="2" t="n"/>
      <c r="F194" s="5" t="n"/>
    </row>
    <row r="195">
      <c r="A195" s="2" t="n"/>
      <c r="F195" s="5" t="n"/>
    </row>
    <row r="196">
      <c r="A196" s="2" t="n"/>
      <c r="F196" s="5" t="n"/>
    </row>
    <row r="197">
      <c r="A197" s="2" t="n"/>
      <c r="F197" s="5" t="n"/>
    </row>
    <row r="198">
      <c r="A198" s="2" t="n"/>
      <c r="F198" s="5" t="n"/>
    </row>
    <row r="199">
      <c r="A199" s="2" t="n"/>
      <c r="F199" s="5"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9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14" customWidth="1" min="4" max="4"/>
    <col width="12" customWidth="1" min="5" max="5"/>
    <col width="16" customWidth="1" min="6" max="6"/>
  </cols>
  <sheetData>
    <row r="1">
      <c r="A1" s="8" t="inlineStr">
        <is>
          <t>Due Date</t>
        </is>
      </c>
      <c r="B1" s="8" t="inlineStr">
        <is>
          <t>Category</t>
        </is>
      </c>
      <c r="C1" s="8" t="inlineStr">
        <is>
          <t>Description</t>
        </is>
      </c>
      <c r="D1" s="8" t="inlineStr">
        <is>
          <t>Amount (₹)</t>
        </is>
      </c>
      <c r="E1" s="8" t="inlineStr">
        <is>
          <t>Status</t>
        </is>
      </c>
      <c r="F1" s="8" t="inlineStr">
        <is>
          <t>Alert Days Before</t>
        </is>
      </c>
    </row>
    <row r="2">
      <c r="A2" s="15" t="n">
        <v>46113</v>
      </c>
      <c r="B2" s="9" t="inlineStr">
        <is>
          <t>Insurance</t>
        </is>
      </c>
      <c r="C2" s="9" t="inlineStr">
        <is>
          <t>HDFC Term Premium</t>
        </is>
      </c>
      <c r="D2" s="10" t="n">
        <v>15000</v>
      </c>
      <c r="E2" s="9" t="inlineStr">
        <is>
          <t>Pending</t>
        </is>
      </c>
      <c r="F2" s="9" t="n">
        <v>15</v>
      </c>
    </row>
    <row r="3">
      <c r="A3" s="15" t="n">
        <v>46117</v>
      </c>
      <c r="B3" s="9" t="inlineStr">
        <is>
          <t>Investment</t>
        </is>
      </c>
      <c r="C3" s="9" t="inlineStr">
        <is>
          <t>PPF Contribution</t>
        </is>
      </c>
      <c r="D3" s="10" t="n">
        <v>150000</v>
      </c>
      <c r="E3" s="9" t="inlineStr">
        <is>
          <t>Pending</t>
        </is>
      </c>
      <c r="F3" s="9" t="n">
        <v>30</v>
      </c>
    </row>
    <row r="4">
      <c r="A4" s="15" t="n">
        <v>46249</v>
      </c>
      <c r="B4" s="9" t="inlineStr">
        <is>
          <t>Banking</t>
        </is>
      </c>
      <c r="C4" s="9" t="inlineStr">
        <is>
          <t>SBI FD Maturity</t>
        </is>
      </c>
      <c r="D4" s="10" t="n">
        <v>200000</v>
      </c>
      <c r="E4" s="9" t="inlineStr">
        <is>
          <t>Pending</t>
        </is>
      </c>
      <c r="F4" s="9" t="n">
        <v>30</v>
      </c>
    </row>
    <row r="5">
      <c r="A5" s="15" t="n"/>
      <c r="B5" s="9" t="n"/>
      <c r="C5" s="9" t="n"/>
      <c r="D5" s="10" t="n"/>
      <c r="E5" s="9" t="n"/>
      <c r="F5" s="9" t="n"/>
    </row>
    <row r="6">
      <c r="A6" s="15" t="n"/>
      <c r="B6" s="9" t="n"/>
      <c r="C6" s="9" t="n"/>
      <c r="D6" s="10" t="n"/>
      <c r="E6" s="9" t="n"/>
      <c r="F6" s="9" t="n"/>
    </row>
    <row r="7">
      <c r="A7" s="15" t="n"/>
      <c r="B7" s="9" t="n"/>
      <c r="C7" s="9" t="n"/>
      <c r="D7" s="10" t="n"/>
      <c r="E7" s="9" t="n"/>
      <c r="F7" s="9" t="n"/>
    </row>
    <row r="8">
      <c r="A8" s="15" t="n"/>
      <c r="B8" s="9" t="n"/>
      <c r="C8" s="9" t="n"/>
      <c r="D8" s="10" t="n"/>
      <c r="E8" s="9" t="n"/>
      <c r="F8" s="9" t="n"/>
    </row>
    <row r="9">
      <c r="A9" s="15" t="n"/>
      <c r="B9" s="9" t="n"/>
      <c r="C9" s="9" t="n"/>
      <c r="D9" s="10" t="n"/>
      <c r="E9" s="9" t="n"/>
      <c r="F9" s="9" t="n"/>
    </row>
    <row r="10">
      <c r="A10" s="15" t="n"/>
      <c r="B10" s="9" t="n"/>
      <c r="C10" s="9" t="n"/>
      <c r="D10" s="10" t="n"/>
      <c r="E10" s="9" t="n"/>
      <c r="F10" s="9" t="n"/>
    </row>
    <row r="11">
      <c r="A11" s="15" t="n"/>
      <c r="B11" s="9" t="n"/>
      <c r="C11" s="9" t="n"/>
      <c r="D11" s="10" t="n"/>
      <c r="E11" s="9" t="n"/>
      <c r="F11" s="9" t="n"/>
    </row>
    <row r="12">
      <c r="A12" s="15" t="n"/>
      <c r="B12" s="9" t="n"/>
      <c r="C12" s="9" t="n"/>
      <c r="D12" s="10" t="n"/>
      <c r="E12" s="9" t="n"/>
      <c r="F12" s="9" t="n"/>
    </row>
    <row r="13">
      <c r="A13" s="15" t="n"/>
      <c r="B13" s="9" t="n"/>
      <c r="C13" s="9" t="n"/>
      <c r="D13" s="10" t="n"/>
      <c r="E13" s="9" t="n"/>
      <c r="F13" s="9" t="n"/>
    </row>
    <row r="14">
      <c r="A14" s="15" t="n"/>
      <c r="B14" s="9" t="n"/>
      <c r="C14" s="9" t="n"/>
      <c r="D14" s="10" t="n"/>
      <c r="E14" s="9" t="n"/>
      <c r="F14" s="9" t="n"/>
    </row>
    <row r="15">
      <c r="A15" s="15" t="n"/>
      <c r="B15" s="9" t="n"/>
      <c r="C15" s="9" t="n"/>
      <c r="D15" s="10" t="n"/>
      <c r="E15" s="9" t="n"/>
      <c r="F15" s="9" t="n"/>
    </row>
    <row r="16">
      <c r="A16" s="15" t="n"/>
      <c r="B16" s="9" t="n"/>
      <c r="C16" s="9" t="n"/>
      <c r="D16" s="10" t="n"/>
      <c r="E16" s="9" t="n"/>
      <c r="F16" s="9" t="n"/>
    </row>
    <row r="17">
      <c r="A17" s="15" t="n"/>
      <c r="B17" s="9" t="n"/>
      <c r="C17" s="9" t="n"/>
      <c r="D17" s="10" t="n"/>
      <c r="E17" s="9" t="n"/>
      <c r="F17" s="9" t="n"/>
    </row>
    <row r="18">
      <c r="A18" s="15" t="n"/>
      <c r="B18" s="9" t="n"/>
      <c r="C18" s="9" t="n"/>
      <c r="D18" s="10" t="n"/>
      <c r="E18" s="9" t="n"/>
      <c r="F18" s="9" t="n"/>
    </row>
    <row r="19">
      <c r="A19" s="15" t="n"/>
      <c r="B19" s="9" t="n"/>
      <c r="C19" s="9" t="n"/>
      <c r="D19" s="10" t="n"/>
      <c r="E19" s="9" t="n"/>
      <c r="F19" s="9" t="n"/>
    </row>
    <row r="20">
      <c r="A20" s="15" t="n"/>
      <c r="B20" s="9" t="n"/>
      <c r="C20" s="9" t="n"/>
      <c r="D20" s="10" t="n"/>
      <c r="E20" s="9" t="n"/>
      <c r="F20" s="9" t="n"/>
    </row>
    <row r="21">
      <c r="A21" s="15" t="n"/>
      <c r="B21" s="9" t="n"/>
      <c r="C21" s="9" t="n"/>
      <c r="D21" s="10" t="n"/>
      <c r="E21" s="9" t="n"/>
      <c r="F21" s="9" t="n"/>
    </row>
    <row r="22">
      <c r="A22" s="15" t="n"/>
      <c r="B22" s="9" t="n"/>
      <c r="C22" s="9" t="n"/>
      <c r="D22" s="10" t="n"/>
      <c r="E22" s="9" t="n"/>
      <c r="F22" s="9" t="n"/>
    </row>
    <row r="23">
      <c r="A23" s="15" t="n"/>
      <c r="B23" s="9" t="n"/>
      <c r="C23" s="9" t="n"/>
      <c r="D23" s="10" t="n"/>
      <c r="E23" s="9" t="n"/>
      <c r="F23" s="9" t="n"/>
    </row>
    <row r="24">
      <c r="A24" s="15" t="n"/>
      <c r="B24" s="9" t="n"/>
      <c r="C24" s="9" t="n"/>
      <c r="D24" s="10" t="n"/>
      <c r="E24" s="9" t="n"/>
      <c r="F24" s="9" t="n"/>
    </row>
    <row r="25">
      <c r="A25" s="15" t="n"/>
      <c r="B25" s="9" t="n"/>
      <c r="C25" s="9" t="n"/>
      <c r="D25" s="10" t="n"/>
      <c r="E25" s="9" t="n"/>
      <c r="F25" s="9" t="n"/>
    </row>
    <row r="26">
      <c r="A26" s="15" t="n"/>
      <c r="B26" s="9" t="n"/>
      <c r="C26" s="9" t="n"/>
      <c r="D26" s="10" t="n"/>
      <c r="E26" s="9" t="n"/>
      <c r="F26" s="9" t="n"/>
    </row>
    <row r="27">
      <c r="A27" s="15" t="n"/>
      <c r="B27" s="9" t="n"/>
      <c r="C27" s="9" t="n"/>
      <c r="D27" s="10" t="n"/>
      <c r="E27" s="9" t="n"/>
      <c r="F27" s="9" t="n"/>
    </row>
    <row r="28">
      <c r="A28" s="15" t="n"/>
      <c r="B28" s="9" t="n"/>
      <c r="C28" s="9" t="n"/>
      <c r="D28" s="10" t="n"/>
      <c r="E28" s="9" t="n"/>
      <c r="F28" s="9" t="n"/>
    </row>
    <row r="29">
      <c r="A29" s="15" t="n"/>
      <c r="B29" s="9" t="n"/>
      <c r="C29" s="9" t="n"/>
      <c r="D29" s="10" t="n"/>
      <c r="E29" s="9" t="n"/>
      <c r="F29" s="9" t="n"/>
    </row>
    <row r="30">
      <c r="A30" s="15" t="n"/>
      <c r="B30" s="9" t="n"/>
      <c r="C30" s="9" t="n"/>
      <c r="D30" s="10" t="n"/>
      <c r="E30" s="9" t="n"/>
      <c r="F30" s="9" t="n"/>
    </row>
    <row r="31">
      <c r="A31" s="15" t="n"/>
      <c r="B31" s="9" t="n"/>
      <c r="C31" s="9" t="n"/>
      <c r="D31" s="10" t="n"/>
      <c r="E31" s="9" t="n"/>
      <c r="F31" s="9" t="n"/>
    </row>
    <row r="32">
      <c r="A32" s="15" t="n"/>
      <c r="B32" s="9" t="n"/>
      <c r="C32" s="9" t="n"/>
      <c r="D32" s="10" t="n"/>
      <c r="E32" s="9" t="n"/>
      <c r="F32" s="9" t="n"/>
    </row>
    <row r="33">
      <c r="A33" s="15" t="n"/>
      <c r="B33" s="9" t="n"/>
      <c r="C33" s="9" t="n"/>
      <c r="D33" s="10" t="n"/>
      <c r="E33" s="9" t="n"/>
      <c r="F33" s="9" t="n"/>
    </row>
    <row r="34">
      <c r="A34" s="15" t="n"/>
      <c r="B34" s="9" t="n"/>
      <c r="C34" s="9" t="n"/>
      <c r="D34" s="10" t="n"/>
      <c r="E34" s="9" t="n"/>
      <c r="F34" s="9" t="n"/>
    </row>
    <row r="35">
      <c r="A35" s="15" t="n"/>
      <c r="B35" s="9" t="n"/>
      <c r="C35" s="9" t="n"/>
      <c r="D35" s="10" t="n"/>
      <c r="E35" s="9" t="n"/>
      <c r="F35" s="9" t="n"/>
    </row>
    <row r="36">
      <c r="A36" s="15" t="n"/>
      <c r="B36" s="9" t="n"/>
      <c r="C36" s="9" t="n"/>
      <c r="D36" s="10" t="n"/>
      <c r="E36" s="9" t="n"/>
      <c r="F36" s="9" t="n"/>
    </row>
    <row r="37">
      <c r="A37" s="15" t="n"/>
      <c r="B37" s="9" t="n"/>
      <c r="C37" s="9" t="n"/>
      <c r="D37" s="10" t="n"/>
      <c r="E37" s="9" t="n"/>
      <c r="F37" s="9" t="n"/>
    </row>
    <row r="38">
      <c r="A38" s="15" t="n"/>
      <c r="B38" s="9" t="n"/>
      <c r="C38" s="9" t="n"/>
      <c r="D38" s="10" t="n"/>
      <c r="E38" s="9" t="n"/>
      <c r="F38" s="9" t="n"/>
    </row>
    <row r="39">
      <c r="A39" s="15" t="n"/>
      <c r="B39" s="9" t="n"/>
      <c r="C39" s="9" t="n"/>
      <c r="D39" s="10" t="n"/>
      <c r="E39" s="9" t="n"/>
      <c r="F39" s="9" t="n"/>
    </row>
    <row r="40">
      <c r="A40" s="15" t="n"/>
      <c r="B40" s="9" t="n"/>
      <c r="C40" s="9" t="n"/>
      <c r="D40" s="10" t="n"/>
      <c r="E40" s="9" t="n"/>
      <c r="F40" s="9" t="n"/>
    </row>
    <row r="41">
      <c r="A41" s="15" t="n"/>
      <c r="B41" s="9" t="n"/>
      <c r="C41" s="9" t="n"/>
      <c r="D41" s="10" t="n"/>
      <c r="E41" s="9" t="n"/>
      <c r="F41" s="9" t="n"/>
    </row>
    <row r="42">
      <c r="A42" s="15" t="n"/>
      <c r="B42" s="9" t="n"/>
      <c r="C42" s="9" t="n"/>
      <c r="D42" s="10" t="n"/>
      <c r="E42" s="9" t="n"/>
      <c r="F42" s="9" t="n"/>
    </row>
    <row r="43">
      <c r="A43" s="15" t="n"/>
      <c r="B43" s="9" t="n"/>
      <c r="C43" s="9" t="n"/>
      <c r="D43" s="10" t="n"/>
      <c r="E43" s="9" t="n"/>
      <c r="F43" s="9" t="n"/>
    </row>
    <row r="44">
      <c r="A44" s="15" t="n"/>
      <c r="B44" s="9" t="n"/>
      <c r="C44" s="9" t="n"/>
      <c r="D44" s="10" t="n"/>
      <c r="E44" s="9" t="n"/>
      <c r="F44" s="9" t="n"/>
    </row>
    <row r="45">
      <c r="A45" s="15" t="n"/>
      <c r="B45" s="9" t="n"/>
      <c r="C45" s="9" t="n"/>
      <c r="D45" s="10" t="n"/>
      <c r="E45" s="9" t="n"/>
      <c r="F45" s="9" t="n"/>
    </row>
    <row r="46">
      <c r="A46" s="15" t="n"/>
      <c r="B46" s="9" t="n"/>
      <c r="C46" s="9" t="n"/>
      <c r="D46" s="10" t="n"/>
      <c r="E46" s="9" t="n"/>
      <c r="F46" s="9" t="n"/>
    </row>
    <row r="47">
      <c r="A47" s="15" t="n"/>
      <c r="B47" s="9" t="n"/>
      <c r="C47" s="9" t="n"/>
      <c r="D47" s="10" t="n"/>
      <c r="E47" s="9" t="n"/>
      <c r="F47" s="9" t="n"/>
    </row>
    <row r="48">
      <c r="A48" s="15" t="n"/>
      <c r="B48" s="9" t="n"/>
      <c r="C48" s="9" t="n"/>
      <c r="D48" s="10" t="n"/>
      <c r="E48" s="9" t="n"/>
      <c r="F48" s="9" t="n"/>
    </row>
    <row r="49">
      <c r="A49" s="15" t="n"/>
      <c r="B49" s="9" t="n"/>
      <c r="C49" s="9" t="n"/>
      <c r="D49" s="10" t="n"/>
      <c r="E49" s="9" t="n"/>
      <c r="F49" s="9" t="n"/>
    </row>
    <row r="50">
      <c r="A50" s="15" t="n"/>
      <c r="B50" s="9" t="n"/>
      <c r="C50" s="9" t="n"/>
      <c r="D50" s="10" t="n"/>
      <c r="E50" s="9" t="n"/>
      <c r="F50" s="9" t="n"/>
    </row>
    <row r="51">
      <c r="A51" s="2" t="n"/>
      <c r="D51" s="5" t="n"/>
    </row>
    <row r="52">
      <c r="A52" s="2" t="n"/>
      <c r="D52" s="5" t="n"/>
    </row>
    <row r="53">
      <c r="A53" s="2" t="n"/>
      <c r="D53" s="5" t="n"/>
    </row>
    <row r="54">
      <c r="A54" s="2" t="n"/>
      <c r="D54" s="5" t="n"/>
    </row>
    <row r="55">
      <c r="A55" s="2" t="n"/>
      <c r="D55" s="5" t="n"/>
    </row>
    <row r="56">
      <c r="A56" s="2" t="n"/>
      <c r="D56" s="5" t="n"/>
    </row>
    <row r="57">
      <c r="A57" s="2" t="n"/>
      <c r="D57" s="5" t="n"/>
    </row>
    <row r="58">
      <c r="A58" s="2" t="n"/>
      <c r="D58" s="5" t="n"/>
    </row>
    <row r="59">
      <c r="A59" s="2" t="n"/>
      <c r="D59" s="5" t="n"/>
    </row>
    <row r="60">
      <c r="A60" s="2" t="n"/>
      <c r="D60" s="5" t="n"/>
    </row>
    <row r="61">
      <c r="A61" s="2" t="n"/>
      <c r="D61" s="5" t="n"/>
    </row>
    <row r="62">
      <c r="A62" s="2" t="n"/>
      <c r="D62" s="5" t="n"/>
    </row>
    <row r="63">
      <c r="A63" s="2" t="n"/>
      <c r="D63" s="5" t="n"/>
    </row>
    <row r="64">
      <c r="A64" s="2" t="n"/>
      <c r="D64" s="5" t="n"/>
    </row>
    <row r="65">
      <c r="A65" s="2" t="n"/>
      <c r="D65" s="5" t="n"/>
    </row>
    <row r="66">
      <c r="A66" s="2" t="n"/>
      <c r="D66" s="5" t="n"/>
    </row>
    <row r="67">
      <c r="A67" s="2" t="n"/>
      <c r="D67" s="5" t="n"/>
    </row>
    <row r="68">
      <c r="A68" s="2" t="n"/>
      <c r="D68" s="5" t="n"/>
    </row>
    <row r="69">
      <c r="A69" s="2" t="n"/>
      <c r="D69" s="5" t="n"/>
    </row>
    <row r="70">
      <c r="A70" s="2" t="n"/>
      <c r="D70" s="5" t="n"/>
    </row>
    <row r="71">
      <c r="A71" s="2" t="n"/>
      <c r="D71" s="5" t="n"/>
    </row>
    <row r="72">
      <c r="A72" s="2" t="n"/>
      <c r="D72" s="5" t="n"/>
    </row>
    <row r="73">
      <c r="A73" s="2" t="n"/>
      <c r="D73" s="5" t="n"/>
    </row>
    <row r="74">
      <c r="A74" s="2" t="n"/>
      <c r="D74" s="5" t="n"/>
    </row>
    <row r="75">
      <c r="A75" s="2" t="n"/>
      <c r="D75" s="5" t="n"/>
    </row>
    <row r="76">
      <c r="A76" s="2" t="n"/>
      <c r="D76" s="5" t="n"/>
    </row>
    <row r="77">
      <c r="A77" s="2" t="n"/>
      <c r="D77" s="5" t="n"/>
    </row>
    <row r="78">
      <c r="A78" s="2" t="n"/>
      <c r="D78" s="5" t="n"/>
    </row>
    <row r="79">
      <c r="A79" s="2" t="n"/>
      <c r="D79" s="5" t="n"/>
    </row>
    <row r="80">
      <c r="A80" s="2" t="n"/>
      <c r="D80" s="5" t="n"/>
    </row>
    <row r="81">
      <c r="A81" s="2" t="n"/>
      <c r="D81" s="5" t="n"/>
    </row>
    <row r="82">
      <c r="A82" s="2" t="n"/>
      <c r="D82" s="5" t="n"/>
    </row>
    <row r="83">
      <c r="A83" s="2" t="n"/>
      <c r="D83" s="5" t="n"/>
    </row>
    <row r="84">
      <c r="A84" s="2" t="n"/>
      <c r="D84" s="5" t="n"/>
    </row>
    <row r="85">
      <c r="A85" s="2" t="n"/>
      <c r="D85" s="5" t="n"/>
    </row>
    <row r="86">
      <c r="A86" s="2" t="n"/>
      <c r="D86" s="5" t="n"/>
    </row>
    <row r="87">
      <c r="A87" s="2" t="n"/>
      <c r="D87" s="5" t="n"/>
    </row>
    <row r="88">
      <c r="A88" s="2" t="n"/>
      <c r="D88" s="5" t="n"/>
    </row>
    <row r="89">
      <c r="A89" s="2" t="n"/>
      <c r="D89" s="5" t="n"/>
    </row>
    <row r="90">
      <c r="A90" s="2" t="n"/>
      <c r="D90" s="5" t="n"/>
    </row>
    <row r="91">
      <c r="A91" s="2" t="n"/>
      <c r="D91" s="5" t="n"/>
    </row>
    <row r="92">
      <c r="A92" s="2" t="n"/>
      <c r="D92" s="5" t="n"/>
    </row>
    <row r="93">
      <c r="A93" s="2" t="n"/>
      <c r="D93" s="5" t="n"/>
    </row>
    <row r="94">
      <c r="A94" s="2" t="n"/>
      <c r="D94" s="5" t="n"/>
    </row>
    <row r="95">
      <c r="A95" s="2" t="n"/>
      <c r="D95" s="5" t="n"/>
    </row>
    <row r="96">
      <c r="A96" s="2" t="n"/>
      <c r="D96" s="5" t="n"/>
    </row>
    <row r="97">
      <c r="A97" s="2" t="n"/>
      <c r="D97" s="5" t="n"/>
    </row>
    <row r="98">
      <c r="A98" s="2" t="n"/>
      <c r="D98" s="5" t="n"/>
    </row>
    <row r="99">
      <c r="A99" s="2" t="n"/>
      <c r="D99" s="5" t="n"/>
    </row>
    <row r="100">
      <c r="A100" s="2" t="n"/>
      <c r="D100" s="5" t="n"/>
    </row>
    <row r="101">
      <c r="A101" s="2" t="n"/>
      <c r="D101" s="5" t="n"/>
    </row>
    <row r="102">
      <c r="A102" s="2" t="n"/>
      <c r="D102" s="5" t="n"/>
    </row>
    <row r="103">
      <c r="A103" s="2" t="n"/>
      <c r="D103" s="5" t="n"/>
    </row>
    <row r="104">
      <c r="A104" s="2" t="n"/>
      <c r="D104" s="5" t="n"/>
    </row>
    <row r="105">
      <c r="A105" s="2" t="n"/>
      <c r="D105" s="5" t="n"/>
    </row>
    <row r="106">
      <c r="A106" s="2" t="n"/>
      <c r="D106" s="5" t="n"/>
    </row>
    <row r="107">
      <c r="A107" s="2" t="n"/>
      <c r="D107" s="5" t="n"/>
    </row>
    <row r="108">
      <c r="A108" s="2" t="n"/>
      <c r="D108" s="5" t="n"/>
    </row>
    <row r="109">
      <c r="A109" s="2" t="n"/>
      <c r="D109" s="5" t="n"/>
    </row>
    <row r="110">
      <c r="A110" s="2" t="n"/>
      <c r="D110" s="5" t="n"/>
    </row>
    <row r="111">
      <c r="A111" s="2" t="n"/>
      <c r="D111" s="5" t="n"/>
    </row>
    <row r="112">
      <c r="A112" s="2" t="n"/>
      <c r="D112" s="5" t="n"/>
    </row>
    <row r="113">
      <c r="A113" s="2" t="n"/>
      <c r="D113" s="5" t="n"/>
    </row>
    <row r="114">
      <c r="A114" s="2" t="n"/>
      <c r="D114" s="5" t="n"/>
    </row>
    <row r="115">
      <c r="A115" s="2" t="n"/>
      <c r="D115" s="5" t="n"/>
    </row>
    <row r="116">
      <c r="A116" s="2" t="n"/>
      <c r="D116" s="5" t="n"/>
    </row>
    <row r="117">
      <c r="A117" s="2" t="n"/>
      <c r="D117" s="5" t="n"/>
    </row>
    <row r="118">
      <c r="A118" s="2" t="n"/>
      <c r="D118" s="5" t="n"/>
    </row>
    <row r="119">
      <c r="A119" s="2" t="n"/>
      <c r="D119" s="5" t="n"/>
    </row>
    <row r="120">
      <c r="A120" s="2" t="n"/>
      <c r="D120" s="5" t="n"/>
    </row>
    <row r="121">
      <c r="A121" s="2" t="n"/>
      <c r="D121" s="5" t="n"/>
    </row>
    <row r="122">
      <c r="A122" s="2" t="n"/>
      <c r="D122" s="5" t="n"/>
    </row>
    <row r="123">
      <c r="A123" s="2" t="n"/>
      <c r="D123" s="5" t="n"/>
    </row>
    <row r="124">
      <c r="A124" s="2" t="n"/>
      <c r="D124" s="5" t="n"/>
    </row>
    <row r="125">
      <c r="A125" s="2" t="n"/>
      <c r="D125" s="5" t="n"/>
    </row>
    <row r="126">
      <c r="A126" s="2" t="n"/>
      <c r="D126" s="5" t="n"/>
    </row>
    <row r="127">
      <c r="A127" s="2" t="n"/>
      <c r="D127" s="5" t="n"/>
    </row>
    <row r="128">
      <c r="A128" s="2" t="n"/>
      <c r="D128" s="5" t="n"/>
    </row>
    <row r="129">
      <c r="A129" s="2" t="n"/>
      <c r="D129" s="5" t="n"/>
    </row>
    <row r="130">
      <c r="A130" s="2" t="n"/>
      <c r="D130" s="5" t="n"/>
    </row>
    <row r="131">
      <c r="A131" s="2" t="n"/>
      <c r="D131" s="5" t="n"/>
    </row>
    <row r="132">
      <c r="A132" s="2" t="n"/>
      <c r="D132" s="5" t="n"/>
    </row>
    <row r="133">
      <c r="A133" s="2" t="n"/>
      <c r="D133" s="5" t="n"/>
    </row>
    <row r="134">
      <c r="A134" s="2" t="n"/>
      <c r="D134" s="5" t="n"/>
    </row>
    <row r="135">
      <c r="A135" s="2" t="n"/>
      <c r="D135" s="5" t="n"/>
    </row>
    <row r="136">
      <c r="A136" s="2" t="n"/>
      <c r="D136" s="5" t="n"/>
    </row>
    <row r="137">
      <c r="A137" s="2" t="n"/>
      <c r="D137" s="5" t="n"/>
    </row>
    <row r="138">
      <c r="A138" s="2" t="n"/>
      <c r="D138" s="5" t="n"/>
    </row>
    <row r="139">
      <c r="A139" s="2" t="n"/>
      <c r="D139" s="5" t="n"/>
    </row>
    <row r="140">
      <c r="A140" s="2" t="n"/>
      <c r="D140" s="5" t="n"/>
    </row>
    <row r="141">
      <c r="A141" s="2" t="n"/>
      <c r="D141" s="5" t="n"/>
    </row>
    <row r="142">
      <c r="A142" s="2" t="n"/>
      <c r="D142" s="5" t="n"/>
    </row>
    <row r="143">
      <c r="A143" s="2" t="n"/>
      <c r="D143" s="5" t="n"/>
    </row>
    <row r="144">
      <c r="A144" s="2" t="n"/>
      <c r="D144" s="5" t="n"/>
    </row>
    <row r="145">
      <c r="A145" s="2" t="n"/>
      <c r="D145" s="5" t="n"/>
    </row>
    <row r="146">
      <c r="A146" s="2" t="n"/>
      <c r="D146" s="5" t="n"/>
    </row>
    <row r="147">
      <c r="A147" s="2" t="n"/>
      <c r="D147" s="5" t="n"/>
    </row>
    <row r="148">
      <c r="A148" s="2" t="n"/>
      <c r="D148" s="5" t="n"/>
    </row>
    <row r="149">
      <c r="A149" s="2" t="n"/>
      <c r="D149" s="5" t="n"/>
    </row>
    <row r="150">
      <c r="A150" s="2" t="n"/>
      <c r="D150" s="5" t="n"/>
    </row>
    <row r="151">
      <c r="A151" s="2" t="n"/>
      <c r="D151" s="5" t="n"/>
    </row>
    <row r="152">
      <c r="A152" s="2" t="n"/>
      <c r="D152" s="5" t="n"/>
    </row>
    <row r="153">
      <c r="A153" s="2" t="n"/>
      <c r="D153" s="5" t="n"/>
    </row>
    <row r="154">
      <c r="A154" s="2" t="n"/>
      <c r="D154" s="5" t="n"/>
    </row>
    <row r="155">
      <c r="A155" s="2" t="n"/>
      <c r="D155" s="5" t="n"/>
    </row>
    <row r="156">
      <c r="A156" s="2" t="n"/>
      <c r="D156" s="5" t="n"/>
    </row>
    <row r="157">
      <c r="A157" s="2" t="n"/>
      <c r="D157" s="5" t="n"/>
    </row>
    <row r="158">
      <c r="A158" s="2" t="n"/>
      <c r="D158" s="5" t="n"/>
    </row>
    <row r="159">
      <c r="A159" s="2" t="n"/>
      <c r="D159" s="5" t="n"/>
    </row>
    <row r="160">
      <c r="A160" s="2" t="n"/>
      <c r="D160" s="5" t="n"/>
    </row>
    <row r="161">
      <c r="A161" s="2" t="n"/>
      <c r="D161" s="5" t="n"/>
    </row>
    <row r="162">
      <c r="A162" s="2" t="n"/>
      <c r="D162" s="5" t="n"/>
    </row>
    <row r="163">
      <c r="A163" s="2" t="n"/>
      <c r="D163" s="5" t="n"/>
    </row>
    <row r="164">
      <c r="A164" s="2" t="n"/>
      <c r="D164" s="5" t="n"/>
    </row>
    <row r="165">
      <c r="A165" s="2" t="n"/>
      <c r="D165" s="5" t="n"/>
    </row>
    <row r="166">
      <c r="A166" s="2" t="n"/>
      <c r="D166" s="5" t="n"/>
    </row>
    <row r="167">
      <c r="A167" s="2" t="n"/>
      <c r="D167" s="5" t="n"/>
    </row>
    <row r="168">
      <c r="A168" s="2" t="n"/>
      <c r="D168" s="5" t="n"/>
    </row>
    <row r="169">
      <c r="A169" s="2" t="n"/>
      <c r="D169" s="5" t="n"/>
    </row>
    <row r="170">
      <c r="A170" s="2" t="n"/>
      <c r="D170" s="5" t="n"/>
    </row>
    <row r="171">
      <c r="A171" s="2" t="n"/>
      <c r="D171" s="5" t="n"/>
    </row>
    <row r="172">
      <c r="A172" s="2" t="n"/>
      <c r="D172" s="5" t="n"/>
    </row>
    <row r="173">
      <c r="A173" s="2" t="n"/>
      <c r="D173" s="5" t="n"/>
    </row>
    <row r="174">
      <c r="A174" s="2" t="n"/>
      <c r="D174" s="5" t="n"/>
    </row>
    <row r="175">
      <c r="A175" s="2" t="n"/>
      <c r="D175" s="5" t="n"/>
    </row>
    <row r="176">
      <c r="A176" s="2" t="n"/>
      <c r="D176" s="5" t="n"/>
    </row>
    <row r="177">
      <c r="A177" s="2" t="n"/>
      <c r="D177" s="5" t="n"/>
    </row>
    <row r="178">
      <c r="A178" s="2" t="n"/>
      <c r="D178" s="5" t="n"/>
    </row>
    <row r="179">
      <c r="A179" s="2" t="n"/>
      <c r="D179" s="5" t="n"/>
    </row>
    <row r="180">
      <c r="A180" s="2" t="n"/>
      <c r="D180" s="5" t="n"/>
    </row>
    <row r="181">
      <c r="A181" s="2" t="n"/>
      <c r="D181" s="5" t="n"/>
    </row>
    <row r="182">
      <c r="A182" s="2" t="n"/>
      <c r="D182" s="5" t="n"/>
    </row>
    <row r="183">
      <c r="A183" s="2" t="n"/>
      <c r="D183" s="5" t="n"/>
    </row>
    <row r="184">
      <c r="A184" s="2" t="n"/>
      <c r="D184" s="5" t="n"/>
    </row>
    <row r="185">
      <c r="A185" s="2" t="n"/>
      <c r="D185" s="5" t="n"/>
    </row>
    <row r="186">
      <c r="A186" s="2" t="n"/>
      <c r="D186" s="5" t="n"/>
    </row>
    <row r="187">
      <c r="A187" s="2" t="n"/>
      <c r="D187" s="5" t="n"/>
    </row>
    <row r="188">
      <c r="A188" s="2" t="n"/>
      <c r="D188" s="5" t="n"/>
    </row>
    <row r="189">
      <c r="A189" s="2" t="n"/>
      <c r="D189" s="5" t="n"/>
    </row>
    <row r="190">
      <c r="A190" s="2" t="n"/>
      <c r="D190" s="5" t="n"/>
    </row>
    <row r="191">
      <c r="A191" s="2" t="n"/>
      <c r="D191" s="5" t="n"/>
    </row>
    <row r="192">
      <c r="A192" s="2" t="n"/>
      <c r="D192" s="5" t="n"/>
    </row>
    <row r="193">
      <c r="A193" s="2" t="n"/>
      <c r="D193" s="5" t="n"/>
    </row>
    <row r="194">
      <c r="A194" s="2" t="n"/>
      <c r="D194" s="5" t="n"/>
    </row>
    <row r="195">
      <c r="A195" s="2" t="n"/>
      <c r="D195" s="5" t="n"/>
    </row>
    <row r="196">
      <c r="A196" s="2" t="n"/>
      <c r="D196" s="5" t="n"/>
    </row>
    <row r="197">
      <c r="A197" s="2" t="n"/>
      <c r="D197" s="5" t="n"/>
    </row>
    <row r="198">
      <c r="A198" s="2" t="n"/>
      <c r="D198" s="5" t="n"/>
    </row>
    <row r="199">
      <c r="A199" s="2" t="n"/>
      <c r="D199" s="5" t="n"/>
    </row>
  </sheetData>
  <conditionalFormatting sqref="A2:F200">
    <cfRule type="expression" priority="1" dxfId="0">
      <formula>=AND($E2="Pending",$A2-TODAY()&lt;=7,$A2-TODAY()&gt;=0)</formula>
    </cfRule>
    <cfRule type="expression" priority="2" dxfId="1">
      <formula>=AND($E2="Pending",$A2-TODAY()&gt;7,$A2-TODAY()&lt;=15)</formula>
    </cfRule>
    <cfRule type="expression" priority="3" dxfId="2">
      <formula>=AND($E2="Pending",$A2-TODAY()&gt;15,$A2-TODAY()&lt;=30)</formula>
    </cfRule>
  </conditionalFormatting>
  <dataValidations count="1">
    <dataValidation sqref="E2:E100" showDropDown="0" showInputMessage="0" showErrorMessage="0" allowBlank="0" type="list">
      <formula1>"Pending,Completed,Cancelled"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0" customWidth="1" min="2" max="2"/>
  </cols>
  <sheetData>
    <row r="1">
      <c r="A1" s="17" t="inlineStr">
        <is>
          <t>CURRENT MARKET RATES</t>
        </is>
      </c>
      <c r="B1" s="9" t="n"/>
    </row>
    <row r="2">
      <c r="A2" s="9" t="inlineStr">
        <is>
          <t>Gold (24K) per gram</t>
        </is>
      </c>
      <c r="B2" s="10" t="n">
        <v>6500</v>
      </c>
    </row>
    <row r="3">
      <c r="A3" s="9" t="inlineStr">
        <is>
          <t>Gold (22K) per gram</t>
        </is>
      </c>
      <c r="B3" s="10" t="n">
        <v>5950</v>
      </c>
    </row>
    <row r="4">
      <c r="A4" s="9" t="inlineStr">
        <is>
          <t>Silver per gram</t>
        </is>
      </c>
      <c r="B4" s="10" t="n">
        <v>75</v>
      </c>
    </row>
    <row r="5">
      <c r="A5" s="9" t="inlineStr">
        <is>
          <t>USD to INR</t>
        </is>
      </c>
      <c r="B5" s="18" t="n">
        <v>83.5</v>
      </c>
    </row>
    <row r="6">
      <c r="A6" s="9" t="inlineStr">
        <is>
          <t>Last Updated</t>
        </is>
      </c>
      <c r="B6" s="15" t="n">
        <v>46069</v>
      </c>
    </row>
    <row r="7">
      <c r="A7" s="9" t="n"/>
      <c r="B7" s="9" t="n"/>
    </row>
    <row r="8">
      <c r="A8" s="9" t="n"/>
      <c r="B8" s="9" t="n"/>
    </row>
    <row r="9">
      <c r="A9" s="17" t="inlineStr">
        <is>
          <t>PERSONAL SETTINGS</t>
        </is>
      </c>
      <c r="B9" s="9" t="n"/>
    </row>
    <row r="10">
      <c r="A10" s="9" t="inlineStr">
        <is>
          <t>Financial Year</t>
        </is>
      </c>
      <c r="B10" s="9" t="inlineStr">
        <is>
          <t>2025-26</t>
        </is>
      </c>
    </row>
    <row r="11">
      <c r="A11" s="9" t="inlineStr">
        <is>
          <t>Risk Profile</t>
        </is>
      </c>
      <c r="B11" s="9" t="inlineStr">
        <is>
          <t>Moderate</t>
        </is>
      </c>
    </row>
    <row r="12">
      <c r="A12" s="9" t="inlineStr">
        <is>
          <t>Target Net Worth</t>
        </is>
      </c>
      <c r="B12" s="10" t="n">
        <v>20000000</v>
      </c>
    </row>
    <row r="13">
      <c r="A13" s="9" t="inlineStr">
        <is>
          <t>Target Date</t>
        </is>
      </c>
      <c r="B13" s="15" t="n">
        <v>47848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min="1" max="1"/>
  </cols>
  <sheetData>
    <row r="1">
      <c r="A1" s="19" t="inlineStr">
        <is>
          <t>INDIAN INVESTMENT PORTFOLIO TRACKER - USER GUIDE
GETTING STARTED:
1. Start by filling in your actual data in each category sheet
2. The Dashboard will automatically calculate your total net worth
3. Update the Settings sheet with current market rates
IMPORTANT FORMULAS:
• Dashboard formulas automatically pull data from all other sheets
• Do NOT delete the TOTAL rows - they contain important formulas
• Current Value columns use formulas like =Units*Price
UPDATING DATA:
• Banking: Update balances monthly
• Mutual Funds: Update NAV weekly or use live data
• Stocks: Update prices daily or use GOOGLEFINANCE function
• Gold/Silver: Update current rates from Settings sheet
• Real Estate: Update valuations annually
GOOGLE SHEETS ENHANCEMENTS:
After uploading to Google Sheets, add:
• =GOOGLEFINANCE("NSE:RELIANCE","price") for live stock prices
• =GOOGLEFINANCE("CURRENCY:XAUINR")/31.1035 for live gold rates
• Data validation dropdowns for consistent data entry
• Conditional formatting to highlight gains/losses
• Charts for visual representation
MONTHLY REVIEW CHECKLIST:
☐ Update all bank account balances
☐ Update mutual fund NAVs
☐ Update stock prices
☐ Update gold/silver rates
☐ Add new transactions to Transaction History
☐ Check Reminders for upcoming payments
☐ Review Dashboard for overall net worth
TIPS:
• Keep documents in a secure location
• Set calendar reminders for payments
• Review asset allocation quarterly
• Backup this file regularly
PRIVACY &amp; SECURITY:
• This file contains sensitive financial information
• Store it securely and password-protect if sharing
• Do not share account numbers or passwords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2026-02-16T09:58:35Z</dcterms:created>
  <dcterms:modified xmlns:dcterms="http://purl.org/dc/terms/" xmlns:xsi="http://www.w3.org/2001/XMLSchema-instance" xsi:type="dcterms:W3CDTF">2026-02-16T09:58:35Z</dcterms:modified>
</cp:coreProperties>
</file>